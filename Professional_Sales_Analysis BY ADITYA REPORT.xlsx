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es Dashboard" sheetId="1" r:id="rId1"/>
    <sheet name="Executive Summary" sheetId="2" r:id="rId2"/>
    <sheet name="PivotTables" sheetId="3" r:id="rId3"/>
    <sheet name="Calculations_KPIs" sheetId="4" r:id="rId4"/>
    <sheet name="Cleaned Data" sheetId="5" r:id="rId5"/>
    <sheet name="Raw Data" sheetId="6" r:id="rId6"/>
    <sheet name="Data Quality Log" sheetId="7" r:id="rId7"/>
    <sheet name="Filter Lists" sheetId="8" state="hidden" r:id="rId8"/>
  </sheets>
  <definedNames>
    <definedName name="CategoryOptions">'Filter Lists'!$B$1:$B$3</definedName>
    <definedName name="CustomerOptions">'Filter Lists'!$D$1:$D$28</definedName>
    <definedName name="_xlnm.Print_Area" localSheetId="1">'Executive Summary'!$A$1:$L$74</definedName>
    <definedName name="_xlnm.Print_Area" localSheetId="0">'Sales Dashboard'!$A$1:$R$88</definedName>
    <definedName name="ProductOptions">'Filter Lists'!$C$1:$C$14</definedName>
    <definedName name="RegionOptions">'Filter Lists'!$A$1:$A$5</definedName>
  </definedNames>
  <calcPr calcId="124519" fullCalcOnLoad="1"/>
  <pivotCaches>
    <pivotCache cacheId="1" r:id="rIdPivotCache1"/>
  </pivotCaches>
</workbook>
</file>

<file path=xl/sharedStrings.xml><?xml version="1.0" encoding="utf-8"?>
<sst xmlns="http://schemas.openxmlformats.org/spreadsheetml/2006/main" count="1070" uniqueCount="288">
  <si>
    <t>OrderID</t>
  </si>
  <si>
    <t>OrderDate</t>
  </si>
  <si>
    <t>CustomerID</t>
  </si>
  <si>
    <t>FirstName</t>
  </si>
  <si>
    <t>LastName</t>
  </si>
  <si>
    <t>Product</t>
  </si>
  <si>
    <t>Category</t>
  </si>
  <si>
    <t>Region</t>
  </si>
  <si>
    <t>Quantity</t>
  </si>
  <si>
    <t>Price</t>
  </si>
  <si>
    <t>Sales</t>
  </si>
  <si>
    <t>Cost</t>
  </si>
  <si>
    <t>Profit</t>
  </si>
  <si>
    <t>C001</t>
  </si>
  <si>
    <t>Amit</t>
  </si>
  <si>
    <t>Sharma</t>
  </si>
  <si>
    <t>Laptop</t>
  </si>
  <si>
    <t>Electronics</t>
  </si>
  <si>
    <t>North</t>
  </si>
  <si>
    <t>C002</t>
  </si>
  <si>
    <t>Rahul</t>
  </si>
  <si>
    <t>Verma</t>
  </si>
  <si>
    <t>Mouse</t>
  </si>
  <si>
    <t>West</t>
  </si>
  <si>
    <t>C003</t>
  </si>
  <si>
    <t>Singh</t>
  </si>
  <si>
    <t>Chair</t>
  </si>
  <si>
    <t>Furniture</t>
  </si>
  <si>
    <t>South</t>
  </si>
  <si>
    <t>C004</t>
  </si>
  <si>
    <t>Neha</t>
  </si>
  <si>
    <t>Gupta</t>
  </si>
  <si>
    <t>Table</t>
  </si>
  <si>
    <t>East</t>
  </si>
  <si>
    <t>C005</t>
  </si>
  <si>
    <t>Karan</t>
  </si>
  <si>
    <t>Yadav</t>
  </si>
  <si>
    <t>Mobile</t>
  </si>
  <si>
    <t>Keyboard</t>
  </si>
  <si>
    <t>C006</t>
  </si>
  <si>
    <t>Sneha</t>
  </si>
  <si>
    <t>Mishra</t>
  </si>
  <si>
    <t>Sofa</t>
  </si>
  <si>
    <t>C007</t>
  </si>
  <si>
    <t>Vikas</t>
  </si>
  <si>
    <t>Kumar</t>
  </si>
  <si>
    <t>Headphones</t>
  </si>
  <si>
    <t>C008</t>
  </si>
  <si>
    <t>Pooja</t>
  </si>
  <si>
    <t>Agarwal</t>
  </si>
  <si>
    <t>C009</t>
  </si>
  <si>
    <t>Ankit</t>
  </si>
  <si>
    <t>Jain</t>
  </si>
  <si>
    <t>Desk</t>
  </si>
  <si>
    <t>C010</t>
  </si>
  <si>
    <t>Saxena</t>
  </si>
  <si>
    <t>Monitor</t>
  </si>
  <si>
    <t>Printer</t>
  </si>
  <si>
    <t>C011</t>
  </si>
  <si>
    <t>Meera</t>
  </si>
  <si>
    <t>Kapoor</t>
  </si>
  <si>
    <t>Bookshelf</t>
  </si>
  <si>
    <t>C012</t>
  </si>
  <si>
    <t>Arjun</t>
  </si>
  <si>
    <t>Patel</t>
  </si>
  <si>
    <t>Tablet</t>
  </si>
  <si>
    <t>C013</t>
  </si>
  <si>
    <t>Simran</t>
  </si>
  <si>
    <t>Malhotra</t>
  </si>
  <si>
    <t>C014</t>
  </si>
  <si>
    <t>Rohan</t>
  </si>
  <si>
    <t>Joshi</t>
  </si>
  <si>
    <t>C015</t>
  </si>
  <si>
    <t>Kavya</t>
  </si>
  <si>
    <t>Reddy</t>
  </si>
  <si>
    <t>C016</t>
  </si>
  <si>
    <t>Deepak</t>
  </si>
  <si>
    <t>Chauhan</t>
  </si>
  <si>
    <t>C017</t>
  </si>
  <si>
    <t>Payal</t>
  </si>
  <si>
    <t>Nair</t>
  </si>
  <si>
    <t>C018</t>
  </si>
  <si>
    <t>Nitin</t>
  </si>
  <si>
    <t>Bansal</t>
  </si>
  <si>
    <t>C019</t>
  </si>
  <si>
    <t>Aisha</t>
  </si>
  <si>
    <t>Khan</t>
  </si>
  <si>
    <t>C020</t>
  </si>
  <si>
    <t>Raj</t>
  </si>
  <si>
    <t>Tiwari</t>
  </si>
  <si>
    <t>C021</t>
  </si>
  <si>
    <t>Tina</t>
  </si>
  <si>
    <t>Mehta</t>
  </si>
  <si>
    <t>C022</t>
  </si>
  <si>
    <t>Manoj</t>
  </si>
  <si>
    <t>Arora</t>
  </si>
  <si>
    <t>C023</t>
  </si>
  <si>
    <t>Bhatt</t>
  </si>
  <si>
    <t>C024</t>
  </si>
  <si>
    <t>Yash</t>
  </si>
  <si>
    <t>Thakur</t>
  </si>
  <si>
    <t>C025</t>
  </si>
  <si>
    <t>Nisha</t>
  </si>
  <si>
    <t>Rana</t>
  </si>
  <si>
    <t>C026</t>
  </si>
  <si>
    <t>Aditya</t>
  </si>
  <si>
    <t>Sethi</t>
  </si>
  <si>
    <t>C027</t>
  </si>
  <si>
    <t>Divya</t>
  </si>
  <si>
    <t>Pandey</t>
  </si>
  <si>
    <t>Profit Margin %</t>
  </si>
  <si>
    <t>Revenue per Unit</t>
  </si>
  <si>
    <t>Month</t>
  </si>
  <si>
    <t>Customer</t>
  </si>
  <si>
    <t>Record Count</t>
  </si>
  <si>
    <t>Quality Status</t>
  </si>
  <si>
    <t>2025-01</t>
  </si>
  <si>
    <t>C001 | Amit Sharma</t>
  </si>
  <si>
    <t>Validated calculations</t>
  </si>
  <si>
    <t>C002 | Rahul Verma</t>
  </si>
  <si>
    <t>Unknown</t>
  </si>
  <si>
    <t>C003 | Unknown Singh</t>
  </si>
  <si>
    <t>Review duplicate Order ID</t>
  </si>
  <si>
    <t>C004 | Neha Gupta</t>
  </si>
  <si>
    <t>C005 | Karan Yadav</t>
  </si>
  <si>
    <t>2026-01</t>
  </si>
  <si>
    <t>C006 | Sneha Mishra</t>
  </si>
  <si>
    <t>C007 | Vikas Kumar</t>
  </si>
  <si>
    <t>2026-02</t>
  </si>
  <si>
    <t>C008 | Pooja Agarwal</t>
  </si>
  <si>
    <t>2025-02</t>
  </si>
  <si>
    <t>C009 | Ankit Jain</t>
  </si>
  <si>
    <t>C010 | Unknown Saxena</t>
  </si>
  <si>
    <t>Review missing name</t>
  </si>
  <si>
    <t>C011 | Meera Kapoor</t>
  </si>
  <si>
    <t>C012 | Arjun Patel</t>
  </si>
  <si>
    <t>C013 | Simran Malhotra</t>
  </si>
  <si>
    <t>2025-03</t>
  </si>
  <si>
    <t>C014 | Rohan Joshi</t>
  </si>
  <si>
    <t>2024-02</t>
  </si>
  <si>
    <t>C015 | Kavya Reddy</t>
  </si>
  <si>
    <t>C016 | Deepak Chauhan</t>
  </si>
  <si>
    <t>C017 | Payal Nair</t>
  </si>
  <si>
    <t>C018 | Nitin Bansal</t>
  </si>
  <si>
    <t>2024-03</t>
  </si>
  <si>
    <t>C019 | Aisha Khan</t>
  </si>
  <si>
    <t>2025-04</t>
  </si>
  <si>
    <t>C020 | Raj Tiwari</t>
  </si>
  <si>
    <t>C021 | Tina Mehta</t>
  </si>
  <si>
    <t>C022 | Manoj Arora</t>
  </si>
  <si>
    <t>C023 | Unknown Bhatt</t>
  </si>
  <si>
    <t>C024 | Yash Thakur</t>
  </si>
  <si>
    <t>C025 | Nisha Rana</t>
  </si>
  <si>
    <t>2024-04</t>
  </si>
  <si>
    <t>C026 | Aditya Sethi</t>
  </si>
  <si>
    <t>C027 | Divya Pandey</t>
  </si>
  <si>
    <t>2024-01</t>
  </si>
  <si>
    <t>DATA QUALITY &amp; AUDIT</t>
  </si>
  <si>
    <t>Source row numbers refer to the original worksheet. No conflicting costs or dates were guessed.</t>
  </si>
  <si>
    <t>Source Row</t>
  </si>
  <si>
    <t>Issue</t>
  </si>
  <si>
    <t>Treatment / Finding</t>
  </si>
  <si>
    <t>Status</t>
  </si>
  <si>
    <t>Follow-up</t>
  </si>
  <si>
    <t>Duplicate Order ID</t>
  </si>
  <si>
    <t>Conflicting repeated ID; all rows retained by user instruction</t>
  </si>
  <si>
    <t>Unresolved</t>
  </si>
  <si>
    <t>Confirm whether repeat rows represent separate sales.</t>
  </si>
  <si>
    <t>Missing FirstName</t>
  </si>
  <si>
    <t>Replaced blank with Unknown; no name inferred</t>
  </si>
  <si>
    <t>Obtain verified name from customer master.</t>
  </si>
  <si>
    <t>Sales calculation</t>
  </si>
  <si>
    <t>15500.0 → 13500</t>
  </si>
  <si>
    <t>Recalculated</t>
  </si>
  <si>
    <t>Sales = Quantity × Price; assumes no unrecorded discounts/tax.</t>
  </si>
  <si>
    <t>15000.0 → 80000</t>
  </si>
  <si>
    <t>Profit calculation</t>
  </si>
  <si>
    <t>4100 → 12000</t>
  </si>
  <si>
    <t>Profit = recalculated Sales − supplied Cost.</t>
  </si>
  <si>
    <t>147200.0 → 7200</t>
  </si>
  <si>
    <t>Mixed-year date</t>
  </si>
  <si>
    <t>18 Jan 2026</t>
  </si>
  <si>
    <t>Retained</t>
  </si>
  <si>
    <t>Date preserved by user instruction; verify reporting coverage.</t>
  </si>
  <si>
    <t>02 Feb 2026</t>
  </si>
  <si>
    <t>blank → 17000</t>
  </si>
  <si>
    <t>35000.0 → 13000</t>
  </si>
  <si>
    <t>blank → 20000</t>
  </si>
  <si>
    <t>2500 → 5000</t>
  </si>
  <si>
    <t>05 Feb 2024</t>
  </si>
  <si>
    <t>-2600 → 2500</t>
  </si>
  <si>
    <t>25 Mar 2024</t>
  </si>
  <si>
    <t>122000.0 → 22000</t>
  </si>
  <si>
    <t>25 Apr 2024</t>
  </si>
  <si>
    <t>114000.0 → 14000</t>
  </si>
  <si>
    <t>4000 → -1000</t>
  </si>
  <si>
    <t>15 Jan 2024</t>
  </si>
  <si>
    <t>SALES PERFORMANCE</t>
  </si>
  <si>
    <t>INTERACTIVE REPORT  |  Change green filter cells; KPI cards and all eight charts update in Excel. Amounts use source currency (unspecified).</t>
  </si>
  <si>
    <t>All</t>
  </si>
  <si>
    <t>REGION</t>
  </si>
  <si>
    <t>CATEGORY</t>
  </si>
  <si>
    <t>PRODUCT</t>
  </si>
  <si>
    <t>CUSTOMER</t>
  </si>
  <si>
    <t>START DATE</t>
  </si>
  <si>
    <t>END DATE</t>
  </si>
  <si>
    <t>33 records • 30 unique IDs • 6 conflicting-ID rows retained</t>
  </si>
  <si>
    <t>KPI ENGINE &amp; CHART SOURCES</t>
  </si>
  <si>
    <t>Live SUMIFS calculations use dashboard filters. Unique orders are counted within each selected slice; record counts are shown separately.</t>
  </si>
  <si>
    <t>Total Sales</t>
  </si>
  <si>
    <t>Total Cost</t>
  </si>
  <si>
    <t>Total Profit</t>
  </si>
  <si>
    <t>Unique Order IDs</t>
  </si>
  <si>
    <t>Quantity Sold</t>
  </si>
  <si>
    <t>Average Order Value</t>
  </si>
  <si>
    <t>Average Selling Price</t>
  </si>
  <si>
    <t>Sales Records</t>
  </si>
  <si>
    <t>Definition notes: Total Sales = sum of Quantity × Price. Total Cost = sum of supplied line costs (not per-unit costs). Profit = Sales − Cost. Margin = total Profit / total Sales. AOV = total Sales / distinct Order IDs. Retained duplicate IDs may overstate sales.</t>
  </si>
  <si>
    <t>No currency symbol is assumed. Unknown first names remain unresolved. Zero-sales months represent no supplied records, not confirmed business inactivity. PivotTables are full-dataset snapshots and have their own Excel field filters; dashboard dropdowns drive the KPI engine and charts.</t>
  </si>
  <si>
    <t>PRODUCT | FILTER-RESPONSIVE ANALYSIS</t>
  </si>
  <si>
    <t>Records</t>
  </si>
  <si>
    <t>Orders</t>
  </si>
  <si>
    <t>Margin %</t>
  </si>
  <si>
    <t>CATEGORY | FILTER-RESPONSIVE ANALYSIS</t>
  </si>
  <si>
    <t>REGION | FILTER-RESPONSIVE ANALYSIS</t>
  </si>
  <si>
    <t>MONTH | FILTER-RESPONSIVE ANALYSIS</t>
  </si>
  <si>
    <t>2024-05</t>
  </si>
  <si>
    <t>2024-06</t>
  </si>
  <si>
    <t>2024-07</t>
  </si>
  <si>
    <t>2024-08</t>
  </si>
  <si>
    <t>2024-09</t>
  </si>
  <si>
    <t>2024-10</t>
  </si>
  <si>
    <t>2024-11</t>
  </si>
  <si>
    <t>2024-12</t>
  </si>
  <si>
    <t>2025-05</t>
  </si>
  <si>
    <t>2025-06</t>
  </si>
  <si>
    <t>2025-07</t>
  </si>
  <si>
    <t>2025-08</t>
  </si>
  <si>
    <t>2025-09</t>
  </si>
  <si>
    <t>2025-10</t>
  </si>
  <si>
    <t>2025-11</t>
  </si>
  <si>
    <t>2025-12</t>
  </si>
  <si>
    <t>CUSTOMER | FILTER-RESPONSIVE ANALYSIS</t>
  </si>
  <si>
    <t>Sales ranking score</t>
  </si>
  <si>
    <t>Score</t>
  </si>
  <si>
    <t>Top 5 by Sales</t>
  </si>
  <si>
    <t>Profit ranking score</t>
  </si>
  <si>
    <t>Top 5 by Profit</t>
  </si>
  <si>
    <t>TOTAL SALES</t>
  </si>
  <si>
    <t>TOTAL PROFIT</t>
  </si>
  <si>
    <t>PROFIT MARGIN</t>
  </si>
  <si>
    <t>UNIQUE ORDER IDs</t>
  </si>
  <si>
    <t>QUANTITY SOLD</t>
  </si>
  <si>
    <t>AVG ORDER VALUE</t>
  </si>
  <si>
    <t>CAUTION: duplicate Order IDs retained as requested; revenue is provisional. Dates span Jan 2024–Feb 2026. Dropdown filters update dashboard only; use PivotTable field filters separately.</t>
  </si>
  <si>
    <t>PIVOTTABLE ANALYSIS</t>
  </si>
  <si>
    <t>Native Excel PivotTables | Full retained dataset | Refresh after source changes. Ratio margins beside each table use aggregated profit / sales.</t>
  </si>
  <si>
    <t>SALES BY PRODUCT</t>
  </si>
  <si>
    <t>Grand Total</t>
  </si>
  <si>
    <t>SALES BY CATEGORY</t>
  </si>
  <si>
    <t>SALES BY REGION</t>
  </si>
  <si>
    <t>Sales records</t>
  </si>
  <si>
    <t>MONTHLY SALES TREND</t>
  </si>
  <si>
    <t>CUSTOMER PERFORMANCE</t>
  </si>
  <si>
    <t>PRODUCT PROFITABILITY</t>
  </si>
  <si>
    <t>EXECUTIVE SUMMARY</t>
  </si>
  <si>
    <t>Management review | Full retained dataset | Findings are provisional where duplicate orders and source assumptions remain unresolved.</t>
  </si>
  <si>
    <t>01  PERFORMANCE AT A GLANCE</t>
  </si>
  <si>
    <t>Total sales: 1,037,200 | Cost: 850,500 | Profit: 186,700 | Margin: 18.0%. The file contains 33 sales records, 30 distinct Order IDs and 96 units. AOV is 34,573.33 per distinct ID; average selling price is 10,804.17 per unit. Currency is not specified.</t>
  </si>
  <si>
    <t>02  REVENUE &amp; PROFIT LEADERS</t>
  </si>
  <si>
    <t>Mobile leads both revenue (267,000) and profit (40,000). Electronics leads category revenue (746,700; 72.0% of total) and profit (123,200), but its margin is 16.5% versus Furniture at 21.9%. Laptop generates 235,000 sales at a 12.8% margin: prioritize cost and pricing review rather than assuming high revenue means strong profitability.</t>
  </si>
  <si>
    <t>03  REGIONAL PERFORMANCE</t>
  </si>
  <si>
    <t>North leads revenue (522,500; 50.4% share) and profit (76,500), but has the weakest regional margin (14.6%). West has the lowest revenue (148,200) and the strongest margin (23.8%); test expansion of its profitable mix. South margin is 22.6% and East margin is 18.1%. These comparisons are descriptive, not adjusted for product mix.</t>
  </si>
  <si>
    <t>04  CUSTOMER VALUE</t>
  </si>
  <si>
    <t>C005 | Karan Yadav leads recorded sales (160,000) and profit (24,000), but both source rows share Order ID 1005. Validate this repetition before using the customer ranking for incentives. C001 | Amit Sharma follows with sales of 117,200 and profit of 18,200. Customer identification uses ID plus available names; missing first names are shown as Unknown.</t>
  </si>
  <si>
    <t>05  TIME TRENDS &amp; COVERAGE</t>
  </si>
  <si>
    <t>January 2025 is the highest recorded sales month (291,500) and profit month (50,500). Among months with records, March 2024 is the lowest sales (7,000) and profit (3,000). January 2026 is the lowest observed 2026 sales month (7,200). Missing months are displayed as zero supplied records in the dashboard, not verified zero business activity. The mixed and incomplete years do not support an overall growth conclusion.</t>
  </si>
  <si>
    <t>06  COMPARABLE 2025 MONTHS</t>
  </si>
  <si>
    <t>Sales across January–April 2025: 291,500 → 146,000 → 175,000 → 165,500. April is 43.2% below January in the supplied records. Profit: 50,500 → 31,000 → 27,500 → 35,500; April profit is 29.1% below January but 29.1% above March. Coverage and duplicate-date conflicts limit trend interpretation; obtain a complete monthly extract.</t>
  </si>
  <si>
    <t>07  PRODUCT OPPORTUNITIES</t>
  </si>
  <si>
    <t>Screening rule: high sales = above product-average revenue (79,785); low margin = below 15%; low sales = below average revenue; high margin = above 30%. Laptop is the high-sales / low-margin product. Keyboard (43.2%), Mouse (40.9%), Headphones (35.6%) and Bookshelf (32.1%) are low-sales / high-margin candidates. Validate demand and capacity before expanding; margin alone is insufficient.</t>
  </si>
  <si>
    <t>08  DATA RISKS &amp; CORRECTIONS</t>
  </si>
  <si>
    <t>No exact duplicate rows were found. Three Order IDs repeat (1003, 1004, 1005), covering six rows with date/cost conflicts; all are retained as requested. Five first names are missing across three customer IDs. Two Sales values are blank. Sales were rebuilt from Quantity × Price and Profit from Sales − Cost. Supplied costs and all dates were preserved; source discounts/tax are unknown. Raw Sales total 1,299,200 becomes 1,037,200; raw Profit 176,200 becomes 186,700.</t>
  </si>
  <si>
    <t>09  RECOMMENDED MANAGEMENT ACTIONS</t>
  </si>
  <si>
    <t>1. Confirm repeat IDs and resolve conflicting dates/costs before final reporting. 2. Recover missing customer names from an authoritative master. 3. Validate the quantity-price revenue rule and line-total cost interpretation with finance. 4. Review Laptop sourcing/pricing and North product mix. 5. Pilot profitable low-volume products with demand checks. 6. Obtain complete calendar coverage before forecasting or evaluating year-over-year performance.</t>
  </si>
  <si>
    <t>10  HOW TO USE THIS WORKBOOK</t>
  </si>
  <si>
    <t>Change Region, Category, Product and Customer dropdowns and start/end dates on Sales Dashboard; all cards and eight charts recalculate in Excel. Reset each selection to All and restore 15 Jan 2024–02 Feb 2026 for the full dataset. Native PivotTables have independent row-field filters; dashboard controls do not filter the PivotTables. After editing data, refresh pivots; adjacent margin formulas should be extended if new row groups appear. Data Quality Log records every flagged issue and treatment.</t>
  </si>
  <si>
    <t>TOP 5 CUSTOMERS | SALES &amp; PROFIT</t>
  </si>
</sst>
</file>

<file path=xl/styles.xml><?xml version="1.0" encoding="utf-8"?>
<styleSheet xmlns="http://schemas.openxmlformats.org/spreadsheetml/2006/main">
  <numFmts count="7">
    <numFmt numFmtId="164" formatCode="dd mmm yyyy"/>
    <numFmt numFmtId="165" formatCode="#,##0"/>
    <numFmt numFmtId="166" formatCode="0.0%"/>
    <numFmt numFmtId="167" formatCode="#,##0.00"/>
    <numFmt numFmtId="168" formatCode="#,##0;[Red](#,##0)"/>
    <numFmt numFmtId="169" formatCode="0.0%;[Red](0.0%)"/>
    <numFmt numFmtId="170" formatCode="#,##0.00;[Red](#,##0.00)"/>
  </numFmts>
  <fonts count="12">
    <font>
      <sz val="11"/>
      <color theme="1"/>
      <name val="Calibri"/>
      <family val="2"/>
      <scheme val="minor"/>
    </font>
    <font>
      <b/>
      <sz val="24"/>
      <color rgb="FFFFFFFF"/>
      <name val="Calibri"/>
      <family val="2"/>
      <scheme val="minor"/>
    </font>
    <font>
      <sz val="10"/>
      <color rgb="FFDDE8F3"/>
      <name val="Calibri"/>
      <family val="2"/>
      <scheme val="minor"/>
    </font>
    <font>
      <sz val="10"/>
      <color rgb="FF25364A"/>
      <name val="Calibri"/>
      <family val="2"/>
      <scheme val="minor"/>
    </font>
    <font>
      <b/>
      <sz val="11"/>
      <color rgb="FF142D4E"/>
      <name val="Calibri"/>
      <family val="2"/>
      <scheme val="minor"/>
    </font>
    <font>
      <b/>
      <sz val="11"/>
      <color theme="1"/>
      <name val="Calibri"/>
      <family val="2"/>
      <scheme val="minor"/>
    </font>
    <font>
      <sz val="10"/>
      <color rgb="FF875B00"/>
      <name val="Calibri"/>
      <family val="2"/>
      <scheme val="minor"/>
    </font>
    <font>
      <b/>
      <sz val="10"/>
      <color rgb="FF337DC1"/>
      <name val="Calibri"/>
      <family val="2"/>
      <scheme val="minor"/>
    </font>
    <font>
      <b/>
      <sz val="25"/>
      <color rgb="FF142D4E"/>
      <name val="Calibri"/>
      <family val="2"/>
      <scheme val="minor"/>
    </font>
    <font>
      <b/>
      <sz val="13"/>
      <color rgb="FF142D4E"/>
      <name val="Calibri"/>
      <family val="2"/>
      <scheme val="minor"/>
    </font>
    <font>
      <sz val="11"/>
      <color rgb="FF25364A"/>
      <name val="Calibri"/>
      <family val="2"/>
      <scheme val="minor"/>
    </font>
    <font>
      <b/>
      <sz val="11"/>
      <color rgb="FFFFFFFF"/>
      <name val="Calibri"/>
      <family val="2"/>
      <scheme val="minor"/>
    </font>
  </fonts>
  <fills count="6">
    <fill>
      <patternFill patternType="none"/>
    </fill>
    <fill>
      <patternFill patternType="gray125"/>
    </fill>
    <fill>
      <patternFill patternType="solid">
        <fgColor rgb="FF142D4E"/>
        <bgColor indexed="64"/>
      </patternFill>
    </fill>
    <fill>
      <patternFill patternType="solid">
        <fgColor rgb="FFDDF5F0"/>
        <bgColor indexed="64"/>
      </patternFill>
    </fill>
    <fill>
      <patternFill patternType="solid">
        <fgColor rgb="FFFFF0D5"/>
        <bgColor indexed="64"/>
      </patternFill>
    </fill>
    <fill>
      <patternFill patternType="solid">
        <fgColor rgb="FFEEF4F8"/>
        <bgColor indexed="64"/>
      </patternFill>
    </fill>
  </fills>
  <borders count="2">
    <border>
      <left/>
      <right/>
      <top/>
      <bottom/>
      <diagonal/>
    </border>
    <border>
      <left style="thin">
        <color rgb="FFA5D8D2"/>
      </left>
      <right style="thin">
        <color rgb="FFA5D8D2"/>
      </right>
      <top style="thin">
        <color rgb="FFA5D8D2"/>
      </top>
      <bottom style="thin">
        <color rgb="FFA5D8D2"/>
      </bottom>
      <diagonal/>
    </border>
  </borders>
  <cellStyleXfs count="1">
    <xf numFmtId="0" fontId="0" fillId="0" borderId="0"/>
  </cellStyleXfs>
  <cellXfs count="18">
    <xf numFmtId="0" fontId="0" fillId="0" borderId="0" xfId="0"/>
    <xf numFmtId="0" fontId="1" fillId="2" borderId="0" xfId="0" applyFont="1" applyFill="1" applyAlignment="1">
      <alignment vertical="center"/>
    </xf>
    <xf numFmtId="0" fontId="2" fillId="2" borderId="0" xfId="0" applyFont="1" applyFill="1" applyAlignment="1">
      <alignment wrapText="1"/>
    </xf>
    <xf numFmtId="0" fontId="3" fillId="0" borderId="0" xfId="0" applyFont="1" applyAlignment="1">
      <alignment vertical="top"/>
    </xf>
    <xf numFmtId="0" fontId="4" fillId="3" borderId="1" xfId="0" applyFont="1" applyFill="1" applyBorder="1"/>
    <xf numFmtId="164" fontId="5" fillId="3" borderId="0" xfId="0" applyNumberFormat="1" applyFont="1" applyFill="1"/>
    <xf numFmtId="0" fontId="6" fillId="4" borderId="0" xfId="0" applyFont="1" applyFill="1" applyAlignment="1">
      <alignment wrapText="1"/>
    </xf>
    <xf numFmtId="0" fontId="7" fillId="5" borderId="0" xfId="0" applyFont="1" applyFill="1"/>
    <xf numFmtId="165" fontId="8" fillId="5" borderId="0" xfId="0" applyNumberFormat="1" applyFont="1" applyFill="1" applyAlignment="1">
      <alignment vertical="center"/>
    </xf>
    <xf numFmtId="166" fontId="8" fillId="5" borderId="0" xfId="0" applyNumberFormat="1" applyFont="1" applyFill="1" applyAlignment="1">
      <alignment vertical="center"/>
    </xf>
    <xf numFmtId="167" fontId="8" fillId="5" borderId="0" xfId="0" applyNumberFormat="1" applyFont="1" applyFill="1" applyAlignment="1">
      <alignment vertical="center"/>
    </xf>
    <xf numFmtId="0" fontId="9" fillId="5" borderId="0" xfId="0" applyFont="1" applyFill="1"/>
    <xf numFmtId="0" fontId="10" fillId="0" borderId="0" xfId="0" applyFont="1" applyAlignment="1">
      <alignment vertical="top" wrapText="1"/>
    </xf>
    <xf numFmtId="0" fontId="11" fillId="2" borderId="0" xfId="0" applyFont="1" applyFill="1" applyAlignment="1">
      <alignment vertical="center" wrapText="1"/>
    </xf>
    <xf numFmtId="168" fontId="10" fillId="0" borderId="0" xfId="0" applyNumberFormat="1" applyFont="1"/>
    <xf numFmtId="169" fontId="10" fillId="0" borderId="0" xfId="0" applyNumberFormat="1" applyFont="1"/>
    <xf numFmtId="170" fontId="10" fillId="0" borderId="0" xfId="0" applyNumberFormat="1" applyFont="1"/>
    <xf numFmtId="164" fontId="10" fillId="0" borderId="0" xfId="0" applyNumberFormat="1" applyFont="1"/>
  </cellXfs>
  <cellStyles count="1">
    <cellStyle name="Normal" xfId="0" builtinId="0"/>
  </cellStyles>
  <dxfs count="2">
    <dxf>
      <font>
        <color rgb="FFC94747"/>
      </font>
      <fill>
        <patternFill>
          <bgColor rgb="FFFBE1E1"/>
        </patternFill>
      </fill>
    </dxf>
    <dxf>
      <font>
        <color rgb="FF875B00"/>
      </font>
      <fill>
        <patternFill>
          <bgColor rgb="FFFFF0D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Type="http://schemas.openxmlformats.org/officeDocument/2006/relationships/pivotCacheDefinition" Target="/xl/pivotCache/pivotCacheDefinition2.xml" Id="rIdPivotCache1"/></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Monthly sales | full calendar</a:t>
            </a:r>
          </a:p>
        </c:rich>
      </c:tx>
      <c:layout/>
    </c:title>
    <c:plotArea>
      <c:layout/>
      <c:lineChart>
        <c:grouping val="standard"/>
        <c:ser>
          <c:idx val="0"/>
          <c:order val="0"/>
          <c:tx>
            <c:v>Monthly sales | full calendar</c:v>
          </c:tx>
          <c:spPr>
            <a:solidFill>
              <a:srgbClr val="337DC1"/>
            </a:solidFill>
            <a:ln w="31750">
              <a:solidFill>
                <a:srgbClr val="337DC1"/>
              </a:solidFill>
            </a:ln>
          </c:spPr>
          <c:marker>
            <c:symbol val="circle"/>
            <c:size val="4"/>
          </c:marker>
          <c:cat>
            <c:strRef>
              <c:f>Calculations_KPIs!$A$54:$A$79</c:f>
              <c:strCache>
                <c:ptCount val="26"/>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strCache>
            </c:strRef>
          </c:cat>
          <c:val>
            <c:numRef>
              <c:f>Calculations_KPIs!$B$54:$B$79</c:f>
              <c:numCache>
                <c:formatCode>General</c:formatCode>
                <c:ptCount val="26"/>
                <c:pt idx="0">
                  <c:v>80000.0</c:v>
                </c:pt>
                <c:pt idx="1">
                  <c:v>42000.0</c:v>
                </c:pt>
                <c:pt idx="2">
                  <c:v>7000.0</c:v>
                </c:pt>
                <c:pt idx="3">
                  <c:v>63000.0</c:v>
                </c:pt>
                <c:pt idx="4">
                  <c:v>0.0</c:v>
                </c:pt>
                <c:pt idx="5">
                  <c:v>0.0</c:v>
                </c:pt>
                <c:pt idx="6">
                  <c:v>0.0</c:v>
                </c:pt>
                <c:pt idx="7">
                  <c:v>0.0</c:v>
                </c:pt>
                <c:pt idx="8">
                  <c:v>0.0</c:v>
                </c:pt>
                <c:pt idx="9">
                  <c:v>0.0</c:v>
                </c:pt>
                <c:pt idx="10">
                  <c:v>0.0</c:v>
                </c:pt>
                <c:pt idx="11">
                  <c:v>0.0</c:v>
                </c:pt>
                <c:pt idx="12">
                  <c:v>291500.0</c:v>
                </c:pt>
                <c:pt idx="13">
                  <c:v>146000.0</c:v>
                </c:pt>
                <c:pt idx="14">
                  <c:v>175000.0</c:v>
                </c:pt>
                <c:pt idx="15">
                  <c:v>165500.0</c:v>
                </c:pt>
                <c:pt idx="16">
                  <c:v>0.0</c:v>
                </c:pt>
                <c:pt idx="17">
                  <c:v>0.0</c:v>
                </c:pt>
                <c:pt idx="18">
                  <c:v>0.0</c:v>
                </c:pt>
                <c:pt idx="19">
                  <c:v>0.0</c:v>
                </c:pt>
                <c:pt idx="20">
                  <c:v>0.0</c:v>
                </c:pt>
                <c:pt idx="21">
                  <c:v>0.0</c:v>
                </c:pt>
                <c:pt idx="22">
                  <c:v>0.0</c:v>
                </c:pt>
                <c:pt idx="23">
                  <c:v>0.0</c:v>
                </c:pt>
                <c:pt idx="24">
                  <c:v>7200.0</c:v>
                </c:pt>
                <c:pt idx="25">
                  <c:v>60000.0</c:v>
                </c:pt>
              </c:numCache>
            </c:numRef>
          </c:val>
        </c:ser>
        <c:marker val="1"/>
        <c:axId val="50010001"/>
        <c:axId val="50010002"/>
      </c:lineChart>
      <c:catAx>
        <c:axId val="50010001"/>
        <c:scaling>
          <c:orientation val="minMax"/>
        </c:scaling>
        <c:axPos val="b"/>
        <c:tickLblPos val="nextTo"/>
        <c:txPr>
          <a:bodyPr/>
          <a:lstStyle/>
          <a:p>
            <a:pPr>
              <a:defRPr sz="900" baseline="0"/>
            </a:pPr>
            <a:endParaRPr lang="en-US"/>
          </a:p>
        </c:txPr>
        <c:crossAx val="50010002"/>
        <c:crosses val="autoZero"/>
        <c:auto val="1"/>
        <c:lblAlgn val="ctr"/>
        <c:lblOffset val="100"/>
      </c:catAx>
      <c:valAx>
        <c:axId val="50010002"/>
        <c:scaling>
          <c:orientation val="minMax"/>
        </c:scaling>
        <c:axPos val="l"/>
        <c:majorGridlines>
          <c:spPr>
            <a:ln>
              <a:solidFill>
                <a:srgbClr val="E6EDF3"/>
              </a:solidFill>
            </a:ln>
          </c:spPr>
        </c:majorGridlines>
        <c:numFmt formatCode="#,##0" sourceLinked="0"/>
        <c:tickLblPos val="nextTo"/>
        <c:txPr>
          <a:bodyPr/>
          <a:lstStyle/>
          <a:p>
            <a:pPr>
              <a:defRPr sz="900" baseline="0"/>
            </a:pPr>
            <a:endParaRPr lang="en-US"/>
          </a:p>
        </c:txPr>
        <c:crossAx val="5001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Monthly profit | full calendar</a:t>
            </a:r>
          </a:p>
        </c:rich>
      </c:tx>
      <c:layout/>
    </c:title>
    <c:plotArea>
      <c:layout/>
      <c:lineChart>
        <c:grouping val="standard"/>
        <c:ser>
          <c:idx val="0"/>
          <c:order val="0"/>
          <c:tx>
            <c:v>Monthly profit | full calendar</c:v>
          </c:tx>
          <c:spPr>
            <a:solidFill>
              <a:srgbClr val="00A99D"/>
            </a:solidFill>
            <a:ln w="31750">
              <a:solidFill>
                <a:srgbClr val="00A99D"/>
              </a:solidFill>
            </a:ln>
          </c:spPr>
          <c:marker>
            <c:symbol val="circle"/>
            <c:size val="4"/>
          </c:marker>
          <c:cat>
            <c:strRef>
              <c:f>Calculations_KPIs!$A$54:$A$79</c:f>
              <c:strCache>
                <c:ptCount val="26"/>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strCache>
            </c:strRef>
          </c:cat>
          <c:val>
            <c:numRef>
              <c:f>Calculations_KPIs!$D$54:$D$79</c:f>
              <c:numCache>
                <c:formatCode>General</c:formatCode>
                <c:ptCount val="26"/>
                <c:pt idx="0">
                  <c:v>12000.0</c:v>
                </c:pt>
                <c:pt idx="1">
                  <c:v>7000.0</c:v>
                </c:pt>
                <c:pt idx="2">
                  <c:v>3000.0</c:v>
                </c:pt>
                <c:pt idx="3">
                  <c:v>9000.0</c:v>
                </c:pt>
                <c:pt idx="4">
                  <c:v>0.0</c:v>
                </c:pt>
                <c:pt idx="5">
                  <c:v>0.0</c:v>
                </c:pt>
                <c:pt idx="6">
                  <c:v>0.0</c:v>
                </c:pt>
                <c:pt idx="7">
                  <c:v>0.0</c:v>
                </c:pt>
                <c:pt idx="8">
                  <c:v>0.0</c:v>
                </c:pt>
                <c:pt idx="9">
                  <c:v>0.0</c:v>
                </c:pt>
                <c:pt idx="10">
                  <c:v>0.0</c:v>
                </c:pt>
                <c:pt idx="11">
                  <c:v>0.0</c:v>
                </c:pt>
                <c:pt idx="12">
                  <c:v>50500.0</c:v>
                </c:pt>
                <c:pt idx="13">
                  <c:v>31000.0</c:v>
                </c:pt>
                <c:pt idx="14">
                  <c:v>27500.0</c:v>
                </c:pt>
                <c:pt idx="15">
                  <c:v>35500.0</c:v>
                </c:pt>
                <c:pt idx="16">
                  <c:v>0.0</c:v>
                </c:pt>
                <c:pt idx="17">
                  <c:v>0.0</c:v>
                </c:pt>
                <c:pt idx="18">
                  <c:v>0.0</c:v>
                </c:pt>
                <c:pt idx="19">
                  <c:v>0.0</c:v>
                </c:pt>
                <c:pt idx="20">
                  <c:v>0.0</c:v>
                </c:pt>
                <c:pt idx="21">
                  <c:v>0.0</c:v>
                </c:pt>
                <c:pt idx="22">
                  <c:v>0.0</c:v>
                </c:pt>
                <c:pt idx="23">
                  <c:v>0.0</c:v>
                </c:pt>
                <c:pt idx="24">
                  <c:v>3200.0</c:v>
                </c:pt>
                <c:pt idx="25">
                  <c:v>8000.0</c:v>
                </c:pt>
              </c:numCache>
            </c:numRef>
          </c:val>
        </c:ser>
        <c:marker val="1"/>
        <c:axId val="50020001"/>
        <c:axId val="50020002"/>
      </c:lineChart>
      <c:catAx>
        <c:axId val="50020001"/>
        <c:scaling>
          <c:orientation val="minMax"/>
        </c:scaling>
        <c:axPos val="b"/>
        <c:tickLblPos val="nextTo"/>
        <c:txPr>
          <a:bodyPr/>
          <a:lstStyle/>
          <a:p>
            <a:pPr>
              <a:defRPr sz="900" baseline="0"/>
            </a:pPr>
            <a:endParaRPr lang="en-US"/>
          </a:p>
        </c:txPr>
        <c:crossAx val="50020002"/>
        <c:crosses val="autoZero"/>
        <c:auto val="1"/>
        <c:lblAlgn val="ctr"/>
        <c:lblOffset val="100"/>
      </c:catAx>
      <c:valAx>
        <c:axId val="50020002"/>
        <c:scaling>
          <c:orientation val="minMax"/>
        </c:scaling>
        <c:axPos val="l"/>
        <c:majorGridlines>
          <c:spPr>
            <a:ln>
              <a:solidFill>
                <a:srgbClr val="E6EDF3"/>
              </a:solidFill>
            </a:ln>
          </c:spPr>
        </c:majorGridlines>
        <c:numFmt formatCode="#,##0" sourceLinked="0"/>
        <c:tickLblPos val="nextTo"/>
        <c:txPr>
          <a:bodyPr/>
          <a:lstStyle/>
          <a:p>
            <a:pPr>
              <a:defRPr sz="900" baseline="0"/>
            </a:pPr>
            <a:endParaRPr lang="en-US"/>
          </a:p>
        </c:txPr>
        <c:crossAx val="5002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Sales by category</a:t>
            </a:r>
          </a:p>
        </c:rich>
      </c:tx>
      <c:layout/>
    </c:title>
    <c:plotArea>
      <c:layout/>
      <c:barChart>
        <c:barDir val="col"/>
        <c:grouping val="clustered"/>
        <c:ser>
          <c:idx val="0"/>
          <c:order val="0"/>
          <c:tx>
            <c:v>Sales by category</c:v>
          </c:tx>
          <c:spPr>
            <a:solidFill>
              <a:srgbClr val="337DC1"/>
            </a:solidFill>
            <a:ln w="31750">
              <a:solidFill>
                <a:srgbClr val="337DC1"/>
              </a:solidFill>
            </a:ln>
          </c:spPr>
          <c:cat>
            <c:strRef>
              <c:f>Calculations_KPIs!$A$38:$A$39</c:f>
              <c:strCache>
                <c:ptCount val="2"/>
                <c:pt idx="0">
                  <c:v>Electronics</c:v>
                </c:pt>
                <c:pt idx="1">
                  <c:v>Furniture</c:v>
                </c:pt>
              </c:strCache>
            </c:strRef>
          </c:cat>
          <c:val>
            <c:numRef>
              <c:f>Calculations_KPIs!$B$38:$B$39</c:f>
              <c:numCache>
                <c:formatCode>General</c:formatCode>
                <c:ptCount val="2"/>
                <c:pt idx="0">
                  <c:v>746700.0</c:v>
                </c:pt>
                <c:pt idx="1">
                  <c:v>290500.0</c:v>
                </c:pt>
              </c:numCache>
            </c:numRef>
          </c:val>
        </c:ser>
        <c:axId val="50030001"/>
        <c:axId val="50030002"/>
      </c:barChart>
      <c:catAx>
        <c:axId val="50030001"/>
        <c:scaling>
          <c:orientation val="minMax"/>
        </c:scaling>
        <c:axPos val="b"/>
        <c:tickLblPos val="nextTo"/>
        <c:txPr>
          <a:bodyPr/>
          <a:lstStyle/>
          <a:p>
            <a:pPr>
              <a:defRPr sz="900" baseline="0"/>
            </a:pPr>
            <a:endParaRPr lang="en-US"/>
          </a:p>
        </c:txPr>
        <c:crossAx val="50030002"/>
        <c:crosses val="autoZero"/>
        <c:auto val="1"/>
        <c:lblAlgn val="ctr"/>
        <c:lblOffset val="100"/>
      </c:catAx>
      <c:valAx>
        <c:axId val="50030002"/>
        <c:scaling>
          <c:orientation val="minMax"/>
        </c:scaling>
        <c:axPos val="l"/>
        <c:majorGridlines>
          <c:spPr>
            <a:ln>
              <a:solidFill>
                <a:srgbClr val="E6EDF3"/>
              </a:solidFill>
            </a:ln>
          </c:spPr>
        </c:majorGridlines>
        <c:numFmt formatCode="#,##0" sourceLinked="0"/>
        <c:tickLblPos val="nextTo"/>
        <c:txPr>
          <a:bodyPr/>
          <a:lstStyle/>
          <a:p>
            <a:pPr>
              <a:defRPr sz="900" baseline="0"/>
            </a:pPr>
            <a:endParaRPr lang="en-US"/>
          </a:p>
        </c:txPr>
        <c:crossAx val="5003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Sales by region</a:t>
            </a:r>
          </a:p>
        </c:rich>
      </c:tx>
      <c:layout/>
    </c:title>
    <c:plotArea>
      <c:layout/>
      <c:barChart>
        <c:barDir val="bar"/>
        <c:grouping val="clustered"/>
        <c:ser>
          <c:idx val="0"/>
          <c:order val="0"/>
          <c:tx>
            <c:v>Sales by region</c:v>
          </c:tx>
          <c:spPr>
            <a:solidFill>
              <a:srgbClr val="337DC1"/>
            </a:solidFill>
            <a:ln w="31750">
              <a:solidFill>
                <a:srgbClr val="337DC1"/>
              </a:solidFill>
            </a:ln>
          </c:spPr>
          <c:cat>
            <c:strRef>
              <c:f>Calculations_KPIs!$A$45:$A$48</c:f>
              <c:strCache>
                <c:ptCount val="4"/>
                <c:pt idx="0">
                  <c:v>North</c:v>
                </c:pt>
                <c:pt idx="1">
                  <c:v>South</c:v>
                </c:pt>
                <c:pt idx="2">
                  <c:v>East</c:v>
                </c:pt>
                <c:pt idx="3">
                  <c:v>West</c:v>
                </c:pt>
              </c:strCache>
            </c:strRef>
          </c:cat>
          <c:val>
            <c:numRef>
              <c:f>Calculations_KPIs!$B$45:$B$48</c:f>
              <c:numCache>
                <c:formatCode>General</c:formatCode>
                <c:ptCount val="4"/>
                <c:pt idx="0">
                  <c:v>522500.0</c:v>
                </c:pt>
                <c:pt idx="1">
                  <c:v>190000.0</c:v>
                </c:pt>
                <c:pt idx="2">
                  <c:v>176500.0</c:v>
                </c:pt>
                <c:pt idx="3">
                  <c:v>148200.0</c:v>
                </c:pt>
              </c:numCache>
            </c:numRef>
          </c:val>
        </c:ser>
        <c:axId val="50040001"/>
        <c:axId val="50040002"/>
      </c:barChart>
      <c:catAx>
        <c:axId val="50040001"/>
        <c:scaling>
          <c:orientation val="maxMin"/>
        </c:scaling>
        <c:axPos val="l"/>
        <c:numFmt formatCode="#,##0" sourceLinked="0"/>
        <c:tickLblPos val="nextTo"/>
        <c:txPr>
          <a:bodyPr/>
          <a:lstStyle/>
          <a:p>
            <a:pPr>
              <a:defRPr sz="900" baseline="0"/>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pPr>
            <a:endParaRPr lang="en-US"/>
          </a:p>
        </c:txPr>
        <c:crossAx val="5004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Top 5 products | sales</a:t>
            </a:r>
          </a:p>
        </c:rich>
      </c:tx>
      <c:layout/>
    </c:title>
    <c:plotArea>
      <c:layout/>
      <c:barChart>
        <c:barDir val="bar"/>
        <c:grouping val="clustered"/>
        <c:ser>
          <c:idx val="0"/>
          <c:order val="0"/>
          <c:tx>
            <c:v>Top 5 products | sales</c:v>
          </c:tx>
          <c:spPr>
            <a:solidFill>
              <a:srgbClr val="337DC1"/>
            </a:solidFill>
            <a:ln w="31750">
              <a:solidFill>
                <a:srgbClr val="337DC1"/>
              </a:solidFill>
            </a:ln>
          </c:spPr>
          <c:cat>
            <c:strRef>
              <c:f>Calculations_KPIs!$A$132:$A$136</c:f>
              <c:strCache>
                <c:ptCount val="5"/>
                <c:pt idx="0">
                  <c:v>Mobile</c:v>
                </c:pt>
                <c:pt idx="1">
                  <c:v>Laptop</c:v>
                </c:pt>
                <c:pt idx="2">
                  <c:v>Sofa</c:v>
                </c:pt>
                <c:pt idx="3">
                  <c:v>Tablet</c:v>
                </c:pt>
                <c:pt idx="4">
                  <c:v>Monitor</c:v>
                </c:pt>
              </c:strCache>
            </c:strRef>
          </c:cat>
          <c:val>
            <c:numRef>
              <c:f>Calculations_KPIs!$B$132:$B$136</c:f>
              <c:numCache>
                <c:formatCode>General</c:formatCode>
                <c:ptCount val="5"/>
                <c:pt idx="0">
                  <c:v>267000.0</c:v>
                </c:pt>
                <c:pt idx="1">
                  <c:v>235000.0</c:v>
                </c:pt>
                <c:pt idx="2">
                  <c:v>122000.0</c:v>
                </c:pt>
                <c:pt idx="3">
                  <c:v>92000.0</c:v>
                </c:pt>
                <c:pt idx="4">
                  <c:v>72000.0</c:v>
                </c:pt>
              </c:numCache>
            </c:numRef>
          </c:val>
        </c:ser>
        <c:axId val="50050001"/>
        <c:axId val="50050002"/>
      </c:barChart>
      <c:catAx>
        <c:axId val="50050001"/>
        <c:scaling>
          <c:orientation val="maxMin"/>
        </c:scaling>
        <c:axPos val="l"/>
        <c:numFmt formatCode="#,##0" sourceLinked="0"/>
        <c:tickLblPos val="nextTo"/>
        <c:txPr>
          <a:bodyPr/>
          <a:lstStyle/>
          <a:p>
            <a:pPr>
              <a:defRPr sz="900" baseline="0"/>
            </a:pPr>
            <a:endParaRPr lang="en-US"/>
          </a:p>
        </c:txPr>
        <c:crossAx val="50050002"/>
        <c:crosses val="autoZero"/>
        <c:auto val="1"/>
        <c:lblAlgn val="ctr"/>
        <c:lblOffset val="100"/>
      </c:catAx>
      <c:valAx>
        <c:axId val="50050002"/>
        <c:scaling>
          <c:orientation val="minMax"/>
        </c:scaling>
        <c:axPos val="t"/>
        <c:majorGridlines/>
        <c:numFmt formatCode="#,##0" sourceLinked="0"/>
        <c:tickLblPos val="nextTo"/>
        <c:txPr>
          <a:bodyPr/>
          <a:lstStyle/>
          <a:p>
            <a:pPr>
              <a:defRPr sz="900" baseline="0"/>
            </a:pPr>
            <a:endParaRPr lang="en-US"/>
          </a:p>
        </c:txPr>
        <c:crossAx val="5005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Top 5 products | profit</a:t>
            </a:r>
          </a:p>
        </c:rich>
      </c:tx>
      <c:layout/>
    </c:title>
    <c:plotArea>
      <c:layout/>
      <c:barChart>
        <c:barDir val="bar"/>
        <c:grouping val="clustered"/>
        <c:ser>
          <c:idx val="0"/>
          <c:order val="0"/>
          <c:tx>
            <c:v>Top 5 products | profit</c:v>
          </c:tx>
          <c:spPr>
            <a:solidFill>
              <a:srgbClr val="00A99D"/>
            </a:solidFill>
            <a:ln w="31750">
              <a:solidFill>
                <a:srgbClr val="00A99D"/>
              </a:solidFill>
            </a:ln>
          </c:spPr>
          <c:cat>
            <c:strRef>
              <c:f>Calculations_KPIs!$A$157:$A$161</c:f>
              <c:strCache>
                <c:ptCount val="5"/>
                <c:pt idx="0">
                  <c:v>Mobile</c:v>
                </c:pt>
                <c:pt idx="1">
                  <c:v>Laptop</c:v>
                </c:pt>
                <c:pt idx="2">
                  <c:v>Sofa</c:v>
                </c:pt>
                <c:pt idx="3">
                  <c:v>Chair</c:v>
                </c:pt>
                <c:pt idx="4">
                  <c:v>Tablet</c:v>
                </c:pt>
              </c:strCache>
            </c:strRef>
          </c:cat>
          <c:val>
            <c:numRef>
              <c:f>Calculations_KPIs!$B$157:$B$161</c:f>
              <c:numCache>
                <c:formatCode>General</c:formatCode>
                <c:ptCount val="5"/>
                <c:pt idx="0">
                  <c:v>40000.0</c:v>
                </c:pt>
                <c:pt idx="1">
                  <c:v>30000.0</c:v>
                </c:pt>
                <c:pt idx="2">
                  <c:v>21000.0</c:v>
                </c:pt>
                <c:pt idx="3">
                  <c:v>19000.0</c:v>
                </c:pt>
                <c:pt idx="4">
                  <c:v>15000.0</c:v>
                </c:pt>
              </c:numCache>
            </c:numRef>
          </c:val>
        </c:ser>
        <c:axId val="50060001"/>
        <c:axId val="50060002"/>
      </c:barChart>
      <c:catAx>
        <c:axId val="50060001"/>
        <c:scaling>
          <c:orientation val="maxMin"/>
        </c:scaling>
        <c:axPos val="l"/>
        <c:numFmt formatCode="#,##0" sourceLinked="0"/>
        <c:tickLblPos val="nextTo"/>
        <c:txPr>
          <a:bodyPr/>
          <a:lstStyle/>
          <a:p>
            <a:pPr>
              <a:defRPr sz="900" baseline="0"/>
            </a:pPr>
            <a:endParaRPr lang="en-US"/>
          </a:p>
        </c:txPr>
        <c:crossAx val="50060002"/>
        <c:crosses val="autoZero"/>
        <c:auto val="1"/>
        <c:lblAlgn val="ctr"/>
        <c:lblOffset val="100"/>
      </c:catAx>
      <c:valAx>
        <c:axId val="50060002"/>
        <c:scaling>
          <c:orientation val="minMax"/>
        </c:scaling>
        <c:axPos val="t"/>
        <c:majorGridlines/>
        <c:numFmt formatCode="#,##0" sourceLinked="0"/>
        <c:tickLblPos val="nextTo"/>
        <c:txPr>
          <a:bodyPr/>
          <a:lstStyle/>
          <a:p>
            <a:pPr>
              <a:defRPr sz="900" baseline="0"/>
            </a:pPr>
            <a:endParaRPr lang="en-US"/>
          </a:p>
        </c:txPr>
        <c:crossAx val="5006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Category revenue contribution</a:t>
            </a:r>
          </a:p>
        </c:rich>
      </c:tx>
      <c:layout/>
    </c:title>
    <c:plotArea>
      <c:layout/>
      <c:doughnutChart>
        <c:varyColors val="1"/>
        <c:ser>
          <c:idx val="0"/>
          <c:order val="0"/>
          <c:tx>
            <c:v>Category revenue contribution</c:v>
          </c:tx>
          <c:spPr>
            <a:solidFill>
              <a:srgbClr val="337DC1"/>
            </a:solidFill>
            <a:ln w="31750">
              <a:solidFill>
                <a:srgbClr val="337DC1"/>
              </a:solidFill>
            </a:ln>
          </c:spPr>
          <c:cat>
            <c:strRef>
              <c:f>Calculations_KPIs!$A$38:$A$39</c:f>
              <c:strCache>
                <c:ptCount val="2"/>
                <c:pt idx="0">
                  <c:v>Electronics</c:v>
                </c:pt>
                <c:pt idx="1">
                  <c:v>Furniture</c:v>
                </c:pt>
              </c:strCache>
            </c:strRef>
          </c:cat>
          <c:val>
            <c:numRef>
              <c:f>Calculations_KPIs!$B$38:$B$39</c:f>
              <c:numCache>
                <c:formatCode>General</c:formatCode>
                <c:ptCount val="2"/>
                <c:pt idx="0">
                  <c:v>746700.0</c:v>
                </c:pt>
                <c:pt idx="1">
                  <c:v>290500.0</c:v>
                </c:pt>
              </c:numCache>
            </c:numRef>
          </c:val>
        </c:ser>
        <c:firstSliceAng val="0"/>
        <c:holeSize val="65"/>
      </c:doughnutChart>
      <c:spPr>
        <a:ln>
          <a:noFill/>
        </a:ln>
      </c:spPr>
    </c:plotArea>
    <c:legend>
      <c:legendPos val="b"/>
      <c:layout/>
      <c:txPr>
        <a:bodyPr/>
        <a:lstStyle/>
        <a:p>
          <a:pPr rtl="0">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42D4E"/>
                </a:solidFill>
              </a:defRPr>
            </a:pPr>
            <a:r>
              <a:rPr lang="en-US" sz="1300" baseline="0">
                <a:solidFill>
                  <a:srgbClr val="142D4E"/>
                </a:solidFill>
              </a:rPr>
              <a:t>Profit margin by product</a:t>
            </a:r>
          </a:p>
        </c:rich>
      </c:tx>
      <c:layout/>
    </c:title>
    <c:plotArea>
      <c:layout/>
      <c:barChart>
        <c:barDir val="bar"/>
        <c:grouping val="clustered"/>
        <c:ser>
          <c:idx val="0"/>
          <c:order val="0"/>
          <c:tx>
            <c:v>Profit margin by product</c:v>
          </c:tx>
          <c:spPr>
            <a:solidFill>
              <a:srgbClr val="00A99D"/>
            </a:solidFill>
            <a:ln w="31750">
              <a:solidFill>
                <a:srgbClr val="00A99D"/>
              </a:solidFill>
            </a:ln>
          </c:spPr>
          <c:cat>
            <c:strRef>
              <c:f>Calculations_KPIs!$A$20:$A$32</c:f>
              <c:strCache>
                <c:ptCount val="13"/>
                <c:pt idx="0">
                  <c:v>Mobile</c:v>
                </c:pt>
                <c:pt idx="1">
                  <c:v>Laptop</c:v>
                </c:pt>
                <c:pt idx="2">
                  <c:v>Sofa</c:v>
                </c:pt>
                <c:pt idx="3">
                  <c:v>Tablet</c:v>
                </c:pt>
                <c:pt idx="4">
                  <c:v>Monitor</c:v>
                </c:pt>
                <c:pt idx="5">
                  <c:v>Chair</c:v>
                </c:pt>
                <c:pt idx="6">
                  <c:v>Table</c:v>
                </c:pt>
                <c:pt idx="7">
                  <c:v>Printer</c:v>
                </c:pt>
                <c:pt idx="8">
                  <c:v>Bookshelf</c:v>
                </c:pt>
                <c:pt idx="9">
                  <c:v>Desk</c:v>
                </c:pt>
                <c:pt idx="10">
                  <c:v>Headphones</c:v>
                </c:pt>
                <c:pt idx="11">
                  <c:v>Keyboard</c:v>
                </c:pt>
                <c:pt idx="12">
                  <c:v>Mouse</c:v>
                </c:pt>
              </c:strCache>
            </c:strRef>
          </c:cat>
          <c:val>
            <c:numRef>
              <c:f>Calculations_KPIs!$H$20:$H$32</c:f>
              <c:numCache>
                <c:formatCode>General</c:formatCode>
                <c:ptCount val="13"/>
                <c:pt idx="0">
                  <c:v>0.149812734082397</c:v>
                </c:pt>
                <c:pt idx="1">
                  <c:v>0.1276595744680851</c:v>
                </c:pt>
                <c:pt idx="2">
                  <c:v>0.1721311475409836</c:v>
                </c:pt>
                <c:pt idx="3">
                  <c:v>0.16304347826086957</c:v>
                </c:pt>
                <c:pt idx="4">
                  <c:v>0.16666666666666666</c:v>
                </c:pt>
                <c:pt idx="5">
                  <c:v>0.27941176470588236</c:v>
                </c:pt>
                <c:pt idx="6">
                  <c:v>0.15217391304347827</c:v>
                </c:pt>
                <c:pt idx="7">
                  <c:v>0.23529411764705882</c:v>
                </c:pt>
                <c:pt idx="8">
                  <c:v>0.32142857142857145</c:v>
                </c:pt>
                <c:pt idx="9">
                  <c:v>0.2830188679245283</c:v>
                </c:pt>
                <c:pt idx="10">
                  <c:v>0.35555555555555557</c:v>
                </c:pt>
                <c:pt idx="11">
                  <c:v>0.4318181818181818</c:v>
                </c:pt>
                <c:pt idx="12">
                  <c:v>0.4090909090909091</c:v>
                </c:pt>
              </c:numCache>
            </c:numRef>
          </c:val>
        </c:ser>
        <c:axId val="50080001"/>
        <c:axId val="50080002"/>
      </c:barChart>
      <c:catAx>
        <c:axId val="50080001"/>
        <c:scaling>
          <c:orientation val="maxMin"/>
        </c:scaling>
        <c:axPos val="l"/>
        <c:numFmt formatCode="#,##0" sourceLinked="0"/>
        <c:tickLblPos val="nextTo"/>
        <c:txPr>
          <a:bodyPr/>
          <a:lstStyle/>
          <a:p>
            <a:pPr>
              <a:defRPr sz="900" baseline="0"/>
            </a:pPr>
            <a:endParaRPr lang="en-US"/>
          </a:p>
        </c:txPr>
        <c:crossAx val="50080002"/>
        <c:crosses val="autoZero"/>
        <c:auto val="1"/>
        <c:lblAlgn val="ctr"/>
        <c:lblOffset val="100"/>
      </c:catAx>
      <c:valAx>
        <c:axId val="50080002"/>
        <c:scaling>
          <c:orientation val="minMax"/>
        </c:scaling>
        <c:axPos val="t"/>
        <c:majorGridlines/>
        <c:numFmt formatCode="0%" sourceLinked="0"/>
        <c:tickLblPos val="nextTo"/>
        <c:txPr>
          <a:bodyPr/>
          <a:lstStyle/>
          <a:p>
            <a:pPr>
              <a:defRPr sz="900" baseline="0"/>
            </a:pPr>
            <a:endParaRPr lang="en-US"/>
          </a:p>
        </c:txPr>
        <c:crossAx val="5008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23</xdr:row>
      <xdr:rowOff>47625</xdr:rowOff>
    </xdr:from>
    <xdr:to>
      <xdr:col>8</xdr:col>
      <xdr:colOff>257175</xdr:colOff>
      <xdr:row>34</xdr:row>
      <xdr:rowOff>228600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23</xdr:row>
      <xdr:rowOff>47625</xdr:rowOff>
    </xdr:from>
    <xdr:to>
      <xdr:col>17</xdr:col>
      <xdr:colOff>257175</xdr:colOff>
      <xdr:row>34</xdr:row>
      <xdr:rowOff>228600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39</xdr:row>
      <xdr:rowOff>47625</xdr:rowOff>
    </xdr:from>
    <xdr:to>
      <xdr:col>8</xdr:col>
      <xdr:colOff>257175</xdr:colOff>
      <xdr:row>50</xdr:row>
      <xdr:rowOff>228600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39</xdr:row>
      <xdr:rowOff>47625</xdr:rowOff>
    </xdr:from>
    <xdr:to>
      <xdr:col>17</xdr:col>
      <xdr:colOff>257175</xdr:colOff>
      <xdr:row>50</xdr:row>
      <xdr:rowOff>228600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55</xdr:row>
      <xdr:rowOff>47625</xdr:rowOff>
    </xdr:from>
    <xdr:to>
      <xdr:col>8</xdr:col>
      <xdr:colOff>257175</xdr:colOff>
      <xdr:row>66</xdr:row>
      <xdr:rowOff>228600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19050</xdr:colOff>
      <xdr:row>55</xdr:row>
      <xdr:rowOff>47625</xdr:rowOff>
    </xdr:from>
    <xdr:to>
      <xdr:col>17</xdr:col>
      <xdr:colOff>257175</xdr:colOff>
      <xdr:row>66</xdr:row>
      <xdr:rowOff>228600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71</xdr:row>
      <xdr:rowOff>47625</xdr:rowOff>
    </xdr:from>
    <xdr:to>
      <xdr:col>8</xdr:col>
      <xdr:colOff>257175</xdr:colOff>
      <xdr:row>82</xdr:row>
      <xdr:rowOff>228600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xdr:colOff>
      <xdr:row>71</xdr:row>
      <xdr:rowOff>47625</xdr:rowOff>
    </xdr:from>
    <xdr:to>
      <xdr:col>17</xdr:col>
      <xdr:colOff>257175</xdr:colOff>
      <xdr:row>82</xdr:row>
      <xdr:rowOff>228600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saveData="1" refreshOnLoad="0" enableRefresh="1" createdVersion="6" refreshedVersion="6" minRefreshableVersion="3" recordCount="33" r:id="rId1">
  <cacheSource type="worksheet">
    <worksheetSource ref="A1:S34" sheet="Cleaned Data"/>
  </cacheSource>
  <cacheFields count="19">
    <cacheField name="OrderID" uniqueList="1" sqlType="0" hierarchy="0" level="0" databaseField="1">
      <sharedItems count="30">
        <n v="1001"/>
        <n v="1002"/>
        <n v="1003"/>
        <n v="1004"/>
        <n v="1005"/>
        <n v="1006"/>
        <n v="1007"/>
        <n v="1008"/>
        <n v="1009"/>
        <n v="1010"/>
        <n v="1011"/>
        <n v="1012"/>
        <n v="1013"/>
        <n v="1014"/>
        <n v="1015"/>
        <n v="1016"/>
        <n v="1017"/>
        <n v="1018"/>
        <n v="1019"/>
        <n v="1020"/>
        <n v="1021"/>
        <n v="1022"/>
        <n v="1023"/>
        <n v="1024"/>
        <n v="1025"/>
        <n v="1026"/>
        <n v="1027"/>
        <n v="1028"/>
        <n v="1029"/>
        <n v="1030"/>
      </sharedItems>
    </cacheField>
    <cacheField name="OrderDate" uniqueList="1" sqlType="0" hierarchy="0" level="0" databaseField="1">
      <sharedItems count="30">
        <d v="2025-01-02T00:00:00"/>
        <d v="2025-01-03T00:00:00"/>
        <d v="2025-01-12T00:00:00"/>
        <d v="2025-01-15T00:00:00"/>
        <d v="2026-01-18T00:00:00"/>
        <d v="2025-01-20T00:00:00"/>
        <d v="2025-01-24T00:00:00"/>
        <d v="2026-02-02T00:00:00"/>
        <d v="2025-02-05T00:00:00"/>
        <d v="2025-02-08T00:00:00"/>
        <d v="2025-02-14T00:00:00"/>
        <d v="2025-02-18T00:00:00"/>
        <d v="2025-02-22T00:00:00"/>
        <d v="2025-03-01T00:00:00"/>
        <d v="2024-02-05T00:00:00"/>
        <d v="2025-03-08T00:00:00"/>
        <d v="2025-03-12T00:00:00"/>
        <d v="2025-03-15T00:00:00"/>
        <d v="2025-03-20T00:00:00"/>
        <d v="2024-03-25T00:00:00"/>
        <d v="2025-04-02T00:00:00"/>
        <d v="2025-04-05T00:00:00"/>
        <d v="2025-04-08T00:00:00"/>
        <d v="2025-04-12T00:00:00"/>
        <d v="2025-04-16T00:00:00"/>
        <d v="2025-04-20T00:00:00"/>
        <d v="2024-04-25T00:00:00"/>
        <d v="2025-04-28T00:00:00"/>
        <d v="2025-01-08T00:00:00"/>
        <d v="2024-01-15T00:00:00"/>
      </sharedItems>
    </cacheField>
    <cacheField name="CustomerID" uniqueList="1" sqlType="0" hierarchy="0" level="0" databaseField="1">
      <sharedItems count="27">
        <s v="C001"/>
        <s v="C002"/>
        <s v="C003"/>
        <s v="C004"/>
        <s v="C005"/>
        <s v="C006"/>
        <s v="C007"/>
        <s v="C008"/>
        <s v="C009"/>
        <s v="C010"/>
        <s v="C011"/>
        <s v="C012"/>
        <s v="C013"/>
        <s v="C014"/>
        <s v="C015"/>
        <s v="C016"/>
        <s v="C017"/>
        <s v="C018"/>
        <s v="C019"/>
        <s v="C020"/>
        <s v="C021"/>
        <s v="C022"/>
        <s v="C023"/>
        <s v="C024"/>
        <s v="C025"/>
        <s v="C026"/>
        <s v="C027"/>
      </sharedItems>
    </cacheField>
    <cacheField name="FirstName" uniqueList="1" sqlType="0" hierarchy="0" level="0" databaseField="1">
      <sharedItems count="25">
        <s v="Amit"/>
        <s v="Rahul"/>
        <s v="Unknown"/>
        <s v="Neha"/>
        <s v="Karan"/>
        <s v="Sneha"/>
        <s v="Vikas"/>
        <s v="Pooja"/>
        <s v="Ankit"/>
        <s v="Meera"/>
        <s v="Arjun"/>
        <s v="Simran"/>
        <s v="Rohan"/>
        <s v="Kavya"/>
        <s v="Deepak"/>
        <s v="Payal"/>
        <s v="Nitin"/>
        <s v="Aisha"/>
        <s v="Raj"/>
        <s v="Tina"/>
        <s v="Manoj"/>
        <s v="Yash"/>
        <s v="Nisha"/>
        <s v="Aditya"/>
        <s v="Divya"/>
      </sharedItems>
    </cacheField>
    <cacheField name="LastName" uniqueList="1" sqlType="0" hierarchy="0" level="0" databaseField="1">
      <sharedItems count="27">
        <s v="Sharma"/>
        <s v="Verma"/>
        <s v="Singh"/>
        <s v="Gupta"/>
        <s v="Yadav"/>
        <s v="Mishra"/>
        <s v="Kumar"/>
        <s v="Agarwal"/>
        <s v="Jain"/>
        <s v="Saxena"/>
        <s v="Kapoor"/>
        <s v="Patel"/>
        <s v="Malhotra"/>
        <s v="Joshi"/>
        <s v="Reddy"/>
        <s v="Chauhan"/>
        <s v="Nair"/>
        <s v="Bansal"/>
        <s v="Khan"/>
        <s v="Tiwari"/>
        <s v="Mehta"/>
        <s v="Arora"/>
        <s v="Bhatt"/>
        <s v="Thakur"/>
        <s v="Rana"/>
        <s v="Sethi"/>
        <s v="Pandey"/>
      </sharedItems>
    </cacheField>
    <cacheField name="Product" uniqueList="1" sqlType="0" hierarchy="0" level="0" databaseField="1">
      <sharedItems count="13">
        <s v="Laptop"/>
        <s v="Mouse"/>
        <s v="Chair"/>
        <s v="Table"/>
        <s v="Mobile"/>
        <s v="Keyboard"/>
        <s v="Sofa"/>
        <s v="Headphones"/>
        <s v="Desk"/>
        <s v="Monitor"/>
        <s v="Printer"/>
        <s v="Bookshelf"/>
        <s v="Tablet"/>
      </sharedItems>
    </cacheField>
    <cacheField name="Category" uniqueList="1" sqlType="0" hierarchy="0" level="0" databaseField="1">
      <sharedItems count="2">
        <s v="Electronics"/>
        <s v="Furniture"/>
      </sharedItems>
    </cacheField>
    <cacheField name="Region" uniqueList="1" sqlType="0" hierarchy="0" level="0" databaseField="1">
      <sharedItems count="4">
        <s v="North"/>
        <s v="West"/>
        <s v="South"/>
        <s v="East"/>
      </sharedItems>
    </cacheField>
    <cacheField name="Quantity" uniqueList="1" sqlType="0" hierarchy="0" level="0" databaseField="1">
      <sharedItems count="7">
        <n v="2"/>
        <n v="5"/>
        <n v="3"/>
        <n v="4"/>
        <n v="6"/>
        <n v="1"/>
        <n v="10"/>
      </sharedItems>
    </cacheField>
    <cacheField name="Price" uniqueList="1" sqlType="0" hierarchy="0" level="0" databaseField="1">
      <sharedItems count="30">
        <n v="55000"/>
        <n v="800"/>
        <n v="4500"/>
        <n v="7000"/>
        <n v="20000"/>
        <n v="1200"/>
        <n v="35000"/>
        <n v="2500"/>
        <n v="60000"/>
        <n v="8500"/>
        <n v="15000"/>
        <n v="12000"/>
        <n v="6500"/>
        <n v="18000"/>
        <n v="4000"/>
        <n v="22000"/>
        <n v="42000"/>
        <n v="1500"/>
        <n v="14000"/>
        <n v="9000"/>
        <n v="65000"/>
        <n v="700"/>
        <n v="3500"/>
        <n v="11000"/>
        <n v="9500"/>
        <n v="19000"/>
        <n v="3000"/>
        <n v="45000"/>
        <n v="21000"/>
        <n v="7500"/>
      </sharedItems>
    </cacheField>
    <cacheField name="Sales" uniqueList="1" sqlType="0" hierarchy="0" level="0" databaseField="1">
      <sharedItems count="28">
        <n v="110000"/>
        <n v="4000"/>
        <n v="13500"/>
        <n v="14000"/>
        <n v="80000"/>
        <n v="7200"/>
        <n v="35000"/>
        <n v="7500"/>
        <n v="60000"/>
        <n v="17000"/>
        <n v="30000"/>
        <n v="12000"/>
        <n v="13000"/>
        <n v="54000"/>
        <n v="20000"/>
        <n v="44000"/>
        <n v="42000"/>
        <n v="6000"/>
        <n v="18000"/>
        <n v="65000"/>
        <n v="7000"/>
        <n v="21000"/>
        <n v="22000"/>
        <n v="9500"/>
        <n v="38000"/>
        <n v="15000"/>
        <n v="45000"/>
        <n v="63000"/>
      </sharedItems>
    </cacheField>
    <cacheField name="Cost" uniqueList="1" sqlType="0" hierarchy="0" level="0" databaseField="1">
      <sharedItems count="24">
        <n v="95000"/>
        <n v="2500"/>
        <n v="9000"/>
        <n v="10000"/>
        <n v="68000"/>
        <n v="4000"/>
        <n v="28000"/>
        <n v="4500"/>
        <n v="52000"/>
        <n v="12000"/>
        <n v="25000"/>
        <n v="45000"/>
        <n v="15000"/>
        <n v="37000"/>
        <n v="35000"/>
        <n v="3500"/>
        <n v="14000"/>
        <n v="58000"/>
        <n v="16000"/>
        <n v="17000"/>
        <n v="7000"/>
        <n v="32000"/>
        <n v="38000"/>
        <n v="54000"/>
      </sharedItems>
    </cacheField>
    <cacheField name="Profit" uniqueList="1" sqlType="0" hierarchy="0" level="0" databaseField="1">
      <sharedItems count="14">
        <n v="15000"/>
        <n v="1500"/>
        <n v="4500"/>
        <n v="4000"/>
        <n v="12000"/>
        <n v="3200"/>
        <n v="7000"/>
        <n v="3000"/>
        <n v="8000"/>
        <n v="5000"/>
        <n v="9000"/>
        <n v="2500"/>
        <n v="6000"/>
        <n v="-1000"/>
      </sharedItems>
    </cacheField>
    <cacheField name="Profit Margin %" uniqueList="1" sqlType="0" hierarchy="0" level="0" databaseField="1">
      <sharedItems count="25">
        <n v="0.1363636363636364"/>
        <n v="0.375"/>
        <n v="0.3333333333333333"/>
        <n v="0.2857142857142857"/>
        <n v="0.15"/>
        <n v="0.4444444444444444"/>
        <n v="0.2"/>
        <n v="0.4"/>
        <n v="0.1333333333333333"/>
        <n v="0.2941176470588235"/>
        <n v="0.1666666666666667"/>
        <n v="0.25"/>
        <n v="0.3076923076923077"/>
        <n v="0.1590909090909091"/>
        <n v="0.4166666666666667"/>
        <n v="0.2222222222222222"/>
        <n v="0.1076923076923077"/>
        <n v="0.4285714285714285"/>
        <n v="0.2380952380952381"/>
        <n v="0.2272727272727273"/>
        <n v="0.2631578947368421"/>
        <n v="0.1578947368421053"/>
        <n v="0.1555555555555556"/>
        <n v="0.1428571428571428"/>
        <n v="-0.07142857142857142"/>
      </sharedItems>
    </cacheField>
    <cacheField name="Revenue per Unit" uniqueList="1" sqlType="0" hierarchy="0" level="0" databaseField="1">
      <sharedItems count="30">
        <n v="55000"/>
        <n v="800"/>
        <n v="4500"/>
        <n v="7000"/>
        <n v="20000"/>
        <n v="1200"/>
        <n v="35000"/>
        <n v="2500"/>
        <n v="60000"/>
        <n v="8500"/>
        <n v="15000"/>
        <n v="12000"/>
        <n v="6500"/>
        <n v="18000"/>
        <n v="4000"/>
        <n v="22000"/>
        <n v="42000"/>
        <n v="1500"/>
        <n v="14000"/>
        <n v="9000"/>
        <n v="65000"/>
        <n v="700"/>
        <n v="3500"/>
        <n v="11000"/>
        <n v="9500"/>
        <n v="19000"/>
        <n v="3000"/>
        <n v="45000"/>
        <n v="21000"/>
        <n v="7500"/>
      </sharedItems>
    </cacheField>
    <cacheField name="Month" uniqueList="1" sqlType="0" hierarchy="0" level="0" databaseField="1">
      <sharedItems count="10">
        <s v="2025-01"/>
        <s v="2026-01"/>
        <s v="2026-02"/>
        <s v="2025-02"/>
        <s v="2025-03"/>
        <s v="2024-02"/>
        <s v="2024-03"/>
        <s v="2025-04"/>
        <s v="2024-04"/>
        <s v="2024-01"/>
      </sharedItems>
    </cacheField>
    <cacheField name="Customer" uniqueList="1" sqlType="0" hierarchy="0" level="0" databaseField="1">
      <sharedItems count="27">
        <s v="C001 | Amit Sharma"/>
        <s v="C002 | Rahul Verma"/>
        <s v="C003 | Unknown Singh"/>
        <s v="C004 | Neha Gupta"/>
        <s v="C005 | Karan Yadav"/>
        <s v="C006 | Sneha Mishra"/>
        <s v="C007 | Vikas Kumar"/>
        <s v="C008 | Pooja Agarwal"/>
        <s v="C009 | Ankit Jain"/>
        <s v="C010 | Unknown Saxena"/>
        <s v="C011 | Meera Kapoor"/>
        <s v="C012 | Arjun Patel"/>
        <s v="C013 | Simran Malhotra"/>
        <s v="C014 | Rohan Joshi"/>
        <s v="C015 | Kavya Reddy"/>
        <s v="C016 | Deepak Chauhan"/>
        <s v="C017 | Payal Nair"/>
        <s v="C018 | Nitin Bansal"/>
        <s v="C019 | Aisha Khan"/>
        <s v="C020 | Raj Tiwari"/>
        <s v="C021 | Tina Mehta"/>
        <s v="C022 | Manoj Arora"/>
        <s v="C023 | Unknown Bhatt"/>
        <s v="C024 | Yash Thakur"/>
        <s v="C025 | Nisha Rana"/>
        <s v="C026 | Aditya Sethi"/>
        <s v="C027 | Divya Pandey"/>
      </sharedItems>
    </cacheField>
    <cacheField name="Record Count" uniqueList="1" sqlType="0" hierarchy="0" level="0" databaseField="1">
      <sharedItems count="1">
        <n v="1"/>
      </sharedItems>
    </cacheField>
    <cacheField name="Quality Status" uniqueList="1" sqlType="0" hierarchy="0" level="0" databaseField="1">
      <sharedItems count="3">
        <s v="Validated calculations"/>
        <s v="Review duplicate Order ID"/>
        <s v="Review missing name"/>
      </sharedItems>
    </cacheField>
  </cacheFields>
</pivotCacheDefinition>
</file>

<file path=xl/pivotCache/pivotCacheDefinition2.xml><?xml version="1.0" encoding="utf-8"?>
<pivotCacheDefinition xmlns:r="http://schemas.openxmlformats.org/officeDocument/2006/relationships" xmlns="http://schemas.openxmlformats.org/spreadsheetml/2006/main" saveData="1" refreshOnLoad="0" enableRefresh="1" createdVersion="6" refreshedVersion="6" minRefreshableVersion="3" recordCount="33" r:id="rId1">
  <cacheSource type="worksheet">
    <worksheetSource ref="A1:S34" sheet="Cleaned Data"/>
  </cacheSource>
  <cacheFields count="19">
    <cacheField name="OrderID" uniqueList="1" sqlType="0" hierarchy="0" level="0" databaseField="1">
      <sharedItems count="30">
        <n v="1001"/>
        <n v="1002"/>
        <n v="1003"/>
        <n v="1004"/>
        <n v="1005"/>
        <n v="1006"/>
        <n v="1007"/>
        <n v="1008"/>
        <n v="1009"/>
        <n v="1010"/>
        <n v="1011"/>
        <n v="1012"/>
        <n v="1013"/>
        <n v="1014"/>
        <n v="1015"/>
        <n v="1016"/>
        <n v="1017"/>
        <n v="1018"/>
        <n v="1019"/>
        <n v="1020"/>
        <n v="1021"/>
        <n v="1022"/>
        <n v="1023"/>
        <n v="1024"/>
        <n v="1025"/>
        <n v="1026"/>
        <n v="1027"/>
        <n v="1028"/>
        <n v="1029"/>
        <n v="1030"/>
      </sharedItems>
    </cacheField>
    <cacheField name="OrderDate" uniqueList="1" sqlType="0" hierarchy="0" level="0" databaseField="1">
      <sharedItems count="30">
        <d v="2025-01-02T00:00:00"/>
        <d v="2025-01-03T00:00:00"/>
        <d v="2025-01-12T00:00:00"/>
        <d v="2025-01-15T00:00:00"/>
        <d v="2026-01-18T00:00:00"/>
        <d v="2025-01-20T00:00:00"/>
        <d v="2025-01-24T00:00:00"/>
        <d v="2026-02-02T00:00:00"/>
        <d v="2025-02-05T00:00:00"/>
        <d v="2025-02-08T00:00:00"/>
        <d v="2025-02-14T00:00:00"/>
        <d v="2025-02-18T00:00:00"/>
        <d v="2025-02-22T00:00:00"/>
        <d v="2025-03-01T00:00:00"/>
        <d v="2024-02-05T00:00:00"/>
        <d v="2025-03-08T00:00:00"/>
        <d v="2025-03-12T00:00:00"/>
        <d v="2025-03-15T00:00:00"/>
        <d v="2025-03-20T00:00:00"/>
        <d v="2024-03-25T00:00:00"/>
        <d v="2025-04-02T00:00:00"/>
        <d v="2025-04-05T00:00:00"/>
        <d v="2025-04-08T00:00:00"/>
        <d v="2025-04-12T00:00:00"/>
        <d v="2025-04-16T00:00:00"/>
        <d v="2025-04-20T00:00:00"/>
        <d v="2024-04-25T00:00:00"/>
        <d v="2025-04-28T00:00:00"/>
        <d v="2025-01-08T00:00:00"/>
        <d v="2024-01-15T00:00:00"/>
      </sharedItems>
    </cacheField>
    <cacheField name="CustomerID" uniqueList="1" sqlType="0" hierarchy="0" level="0" databaseField="1">
      <sharedItems count="27">
        <s v="C001"/>
        <s v="C002"/>
        <s v="C003"/>
        <s v="C004"/>
        <s v="C005"/>
        <s v="C006"/>
        <s v="C007"/>
        <s v="C008"/>
        <s v="C009"/>
        <s v="C010"/>
        <s v="C011"/>
        <s v="C012"/>
        <s v="C013"/>
        <s v="C014"/>
        <s v="C015"/>
        <s v="C016"/>
        <s v="C017"/>
        <s v="C018"/>
        <s v="C019"/>
        <s v="C020"/>
        <s v="C021"/>
        <s v="C022"/>
        <s v="C023"/>
        <s v="C024"/>
        <s v="C025"/>
        <s v="C026"/>
        <s v="C027"/>
      </sharedItems>
    </cacheField>
    <cacheField name="FirstName" uniqueList="1" sqlType="0" hierarchy="0" level="0" databaseField="1">
      <sharedItems count="25">
        <s v="Amit"/>
        <s v="Rahul"/>
        <s v="Unknown"/>
        <s v="Neha"/>
        <s v="Karan"/>
        <s v="Sneha"/>
        <s v="Vikas"/>
        <s v="Pooja"/>
        <s v="Ankit"/>
        <s v="Meera"/>
        <s v="Arjun"/>
        <s v="Simran"/>
        <s v="Rohan"/>
        <s v="Kavya"/>
        <s v="Deepak"/>
        <s v="Payal"/>
        <s v="Nitin"/>
        <s v="Aisha"/>
        <s v="Raj"/>
        <s v="Tina"/>
        <s v="Manoj"/>
        <s v="Yash"/>
        <s v="Nisha"/>
        <s v="Aditya"/>
        <s v="Divya"/>
      </sharedItems>
    </cacheField>
    <cacheField name="LastName" uniqueList="1" sqlType="0" hierarchy="0" level="0" databaseField="1">
      <sharedItems count="27">
        <s v="Sharma"/>
        <s v="Verma"/>
        <s v="Singh"/>
        <s v="Gupta"/>
        <s v="Yadav"/>
        <s v="Mishra"/>
        <s v="Kumar"/>
        <s v="Agarwal"/>
        <s v="Jain"/>
        <s v="Saxena"/>
        <s v="Kapoor"/>
        <s v="Patel"/>
        <s v="Malhotra"/>
        <s v="Joshi"/>
        <s v="Reddy"/>
        <s v="Chauhan"/>
        <s v="Nair"/>
        <s v="Bansal"/>
        <s v="Khan"/>
        <s v="Tiwari"/>
        <s v="Mehta"/>
        <s v="Arora"/>
        <s v="Bhatt"/>
        <s v="Thakur"/>
        <s v="Rana"/>
        <s v="Sethi"/>
        <s v="Pandey"/>
      </sharedItems>
    </cacheField>
    <cacheField name="Product" uniqueList="1" sqlType="0" hierarchy="0" level="0" databaseField="1">
      <sharedItems count="13">
        <s v="Laptop"/>
        <s v="Mouse"/>
        <s v="Chair"/>
        <s v="Table"/>
        <s v="Mobile"/>
        <s v="Keyboard"/>
        <s v="Sofa"/>
        <s v="Headphones"/>
        <s v="Desk"/>
        <s v="Monitor"/>
        <s v="Printer"/>
        <s v="Bookshelf"/>
        <s v="Tablet"/>
      </sharedItems>
    </cacheField>
    <cacheField name="Category" uniqueList="1" sqlType="0" hierarchy="0" level="0" databaseField="1">
      <sharedItems count="2">
        <s v="Electronics"/>
        <s v="Furniture"/>
      </sharedItems>
    </cacheField>
    <cacheField name="Region" uniqueList="1" sqlType="0" hierarchy="0" level="0" databaseField="1">
      <sharedItems count="4">
        <s v="North"/>
        <s v="West"/>
        <s v="South"/>
        <s v="East"/>
      </sharedItems>
    </cacheField>
    <cacheField name="Quantity" uniqueList="1" sqlType="0" hierarchy="0" level="0" databaseField="1">
      <sharedItems count="7">
        <n v="2"/>
        <n v="5"/>
        <n v="3"/>
        <n v="4"/>
        <n v="6"/>
        <n v="1"/>
        <n v="10"/>
      </sharedItems>
    </cacheField>
    <cacheField name="Price" uniqueList="1" sqlType="0" hierarchy="0" level="0" databaseField="1">
      <sharedItems count="30">
        <n v="55000"/>
        <n v="800"/>
        <n v="4500"/>
        <n v="7000"/>
        <n v="20000"/>
        <n v="1200"/>
        <n v="35000"/>
        <n v="2500"/>
        <n v="60000"/>
        <n v="8500"/>
        <n v="15000"/>
        <n v="12000"/>
        <n v="6500"/>
        <n v="18000"/>
        <n v="4000"/>
        <n v="22000"/>
        <n v="42000"/>
        <n v="1500"/>
        <n v="14000"/>
        <n v="9000"/>
        <n v="65000"/>
        <n v="700"/>
        <n v="3500"/>
        <n v="11000"/>
        <n v="9500"/>
        <n v="19000"/>
        <n v="3000"/>
        <n v="45000"/>
        <n v="21000"/>
        <n v="7500"/>
      </sharedItems>
    </cacheField>
    <cacheField name="Sales" uniqueList="1" sqlType="0" hierarchy="0" level="0" databaseField="1">
      <sharedItems count="28">
        <n v="110000"/>
        <n v="4000"/>
        <n v="13500"/>
        <n v="14000"/>
        <n v="80000"/>
        <n v="7200"/>
        <n v="35000"/>
        <n v="7500"/>
        <n v="60000"/>
        <n v="17000"/>
        <n v="30000"/>
        <n v="12000"/>
        <n v="13000"/>
        <n v="54000"/>
        <n v="20000"/>
        <n v="44000"/>
        <n v="42000"/>
        <n v="6000"/>
        <n v="18000"/>
        <n v="65000"/>
        <n v="7000"/>
        <n v="21000"/>
        <n v="22000"/>
        <n v="9500"/>
        <n v="38000"/>
        <n v="15000"/>
        <n v="45000"/>
        <n v="63000"/>
      </sharedItems>
    </cacheField>
    <cacheField name="Cost" uniqueList="1" sqlType="0" hierarchy="0" level="0" databaseField="1">
      <sharedItems count="24">
        <n v="95000"/>
        <n v="2500"/>
        <n v="9000"/>
        <n v="10000"/>
        <n v="68000"/>
        <n v="4000"/>
        <n v="28000"/>
        <n v="4500"/>
        <n v="52000"/>
        <n v="12000"/>
        <n v="25000"/>
        <n v="45000"/>
        <n v="15000"/>
        <n v="37000"/>
        <n v="35000"/>
        <n v="3500"/>
        <n v="14000"/>
        <n v="58000"/>
        <n v="16000"/>
        <n v="17000"/>
        <n v="7000"/>
        <n v="32000"/>
        <n v="38000"/>
        <n v="54000"/>
      </sharedItems>
    </cacheField>
    <cacheField name="Profit" uniqueList="1" sqlType="0" hierarchy="0" level="0" databaseField="1">
      <sharedItems count="14">
        <n v="15000"/>
        <n v="1500"/>
        <n v="4500"/>
        <n v="4000"/>
        <n v="12000"/>
        <n v="3200"/>
        <n v="7000"/>
        <n v="3000"/>
        <n v="8000"/>
        <n v="5000"/>
        <n v="9000"/>
        <n v="2500"/>
        <n v="6000"/>
        <n v="-1000"/>
      </sharedItems>
    </cacheField>
    <cacheField name="Profit Margin %" uniqueList="1" sqlType="0" hierarchy="0" level="0" databaseField="1">
      <sharedItems count="25">
        <n v="0.1363636363636364"/>
        <n v="0.375"/>
        <n v="0.3333333333333333"/>
        <n v="0.2857142857142857"/>
        <n v="0.15"/>
        <n v="0.4444444444444444"/>
        <n v="0.2"/>
        <n v="0.4"/>
        <n v="0.1333333333333333"/>
        <n v="0.2941176470588235"/>
        <n v="0.1666666666666667"/>
        <n v="0.25"/>
        <n v="0.3076923076923077"/>
        <n v="0.1590909090909091"/>
        <n v="0.4166666666666667"/>
        <n v="0.2222222222222222"/>
        <n v="0.1076923076923077"/>
        <n v="0.4285714285714285"/>
        <n v="0.2380952380952381"/>
        <n v="0.2272727272727273"/>
        <n v="0.2631578947368421"/>
        <n v="0.1578947368421053"/>
        <n v="0.1555555555555556"/>
        <n v="0.1428571428571428"/>
        <n v="-0.07142857142857142"/>
      </sharedItems>
    </cacheField>
    <cacheField name="Revenue per Unit" uniqueList="1" sqlType="0" hierarchy="0" level="0" databaseField="1">
      <sharedItems count="30">
        <n v="55000"/>
        <n v="800"/>
        <n v="4500"/>
        <n v="7000"/>
        <n v="20000"/>
        <n v="1200"/>
        <n v="35000"/>
        <n v="2500"/>
        <n v="60000"/>
        <n v="8500"/>
        <n v="15000"/>
        <n v="12000"/>
        <n v="6500"/>
        <n v="18000"/>
        <n v="4000"/>
        <n v="22000"/>
        <n v="42000"/>
        <n v="1500"/>
        <n v="14000"/>
        <n v="9000"/>
        <n v="65000"/>
        <n v="700"/>
        <n v="3500"/>
        <n v="11000"/>
        <n v="9500"/>
        <n v="19000"/>
        <n v="3000"/>
        <n v="45000"/>
        <n v="21000"/>
        <n v="7500"/>
      </sharedItems>
    </cacheField>
    <cacheField name="Month" uniqueList="1" sqlType="0" hierarchy="0" level="0" databaseField="1">
      <sharedItems count="10">
        <s v="2025-01"/>
        <s v="2026-01"/>
        <s v="2026-02"/>
        <s v="2025-02"/>
        <s v="2025-03"/>
        <s v="2024-02"/>
        <s v="2024-03"/>
        <s v="2025-04"/>
        <s v="2024-04"/>
        <s v="2024-01"/>
      </sharedItems>
    </cacheField>
    <cacheField name="Customer" uniqueList="1" sqlType="0" hierarchy="0" level="0" databaseField="1">
      <sharedItems count="27">
        <s v="C001 | Amit Sharma"/>
        <s v="C002 | Rahul Verma"/>
        <s v="C003 | Unknown Singh"/>
        <s v="C004 | Neha Gupta"/>
        <s v="C005 | Karan Yadav"/>
        <s v="C006 | Sneha Mishra"/>
        <s v="C007 | Vikas Kumar"/>
        <s v="C008 | Pooja Agarwal"/>
        <s v="C009 | Ankit Jain"/>
        <s v="C010 | Unknown Saxena"/>
        <s v="C011 | Meera Kapoor"/>
        <s v="C012 | Arjun Patel"/>
        <s v="C013 | Simran Malhotra"/>
        <s v="C014 | Rohan Joshi"/>
        <s v="C015 | Kavya Reddy"/>
        <s v="C016 | Deepak Chauhan"/>
        <s v="C017 | Payal Nair"/>
        <s v="C018 | Nitin Bansal"/>
        <s v="C019 | Aisha Khan"/>
        <s v="C020 | Raj Tiwari"/>
        <s v="C021 | Tina Mehta"/>
        <s v="C022 | Manoj Arora"/>
        <s v="C023 | Unknown Bhatt"/>
        <s v="C024 | Yash Thakur"/>
        <s v="C025 | Nisha Rana"/>
        <s v="C026 | Aditya Sethi"/>
        <s v="C027 | Divya Pandey"/>
      </sharedItems>
    </cacheField>
    <cacheField name="Record Count" uniqueList="1" sqlType="0" hierarchy="0" level="0" databaseField="1">
      <sharedItems count="1">
        <n v="1"/>
      </sharedItems>
    </cacheField>
    <cacheField name="Quality Status" uniqueList="1" sqlType="0" hierarchy="0" level="0" databaseField="1">
      <sharedItems count="3">
        <s v="Validated calculations"/>
        <s v="Review duplicate Order ID"/>
        <s v="Review missing name"/>
      </sharedItems>
    </cacheField>
  </cacheFields>
</pivotCacheDefinition>
</file>

<file path=xl/pivotCache/pivotCacheRecords1.xml><?xml version="1.0" encoding="utf-8"?>
<pivotCacheRecords xmlns="http://schemas.openxmlformats.org/spreadsheetml/2006/main" count="33">
  <r>
    <x v="0"/>
    <x v="0"/>
    <x v="0"/>
    <x v="0"/>
    <x v="0"/>
    <x v="0"/>
    <x v="0"/>
    <x v="0"/>
    <x v="0"/>
    <x v="0"/>
    <x v="0"/>
    <x v="0"/>
    <x v="0"/>
    <x v="0"/>
    <x v="0"/>
    <x v="0"/>
    <x v="0"/>
    <x v="0"/>
    <x v="0"/>
  </r>
  <r>
    <x v="1"/>
    <x v="1"/>
    <x v="1"/>
    <x v="1"/>
    <x v="1"/>
    <x v="1"/>
    <x v="0"/>
    <x v="1"/>
    <x v="1"/>
    <x v="1"/>
    <x v="1"/>
    <x v="1"/>
    <x v="1"/>
    <x v="1"/>
    <x v="1"/>
    <x v="0"/>
    <x v="1"/>
    <x v="0"/>
    <x v="0"/>
  </r>
  <r>
    <x v="2"/>
    <x v="0"/>
    <x v="2"/>
    <x v="2"/>
    <x v="2"/>
    <x v="2"/>
    <x v="1"/>
    <x v="2"/>
    <x v="2"/>
    <x v="2"/>
    <x v="2"/>
    <x v="2"/>
    <x v="2"/>
    <x v="2"/>
    <x v="2"/>
    <x v="0"/>
    <x v="2"/>
    <x v="0"/>
    <x v="1"/>
  </r>
  <r>
    <x v="3"/>
    <x v="2"/>
    <x v="3"/>
    <x v="3"/>
    <x v="3"/>
    <x v="3"/>
    <x v="1"/>
    <x v="3"/>
    <x v="0"/>
    <x v="3"/>
    <x v="3"/>
    <x v="3"/>
    <x v="3"/>
    <x v="3"/>
    <x v="3"/>
    <x v="0"/>
    <x v="3"/>
    <x v="0"/>
    <x v="1"/>
  </r>
  <r>
    <x v="4"/>
    <x v="3"/>
    <x v="4"/>
    <x v="4"/>
    <x v="4"/>
    <x v="4"/>
    <x v="0"/>
    <x v="0"/>
    <x v="3"/>
    <x v="4"/>
    <x v="4"/>
    <x v="4"/>
    <x v="4"/>
    <x v="4"/>
    <x v="4"/>
    <x v="0"/>
    <x v="4"/>
    <x v="0"/>
    <x v="1"/>
  </r>
  <r>
    <x v="5"/>
    <x v="4"/>
    <x v="0"/>
    <x v="0"/>
    <x v="0"/>
    <x v="5"/>
    <x v="0"/>
    <x v="1"/>
    <x v="4"/>
    <x v="5"/>
    <x v="5"/>
    <x v="5"/>
    <x v="5"/>
    <x v="5"/>
    <x v="5"/>
    <x v="1"/>
    <x v="0"/>
    <x v="0"/>
    <x v="0"/>
  </r>
  <r>
    <x v="6"/>
    <x v="5"/>
    <x v="5"/>
    <x v="5"/>
    <x v="5"/>
    <x v="6"/>
    <x v="1"/>
    <x v="2"/>
    <x v="5"/>
    <x v="6"/>
    <x v="6"/>
    <x v="6"/>
    <x v="6"/>
    <x v="6"/>
    <x v="6"/>
    <x v="0"/>
    <x v="5"/>
    <x v="0"/>
    <x v="0"/>
  </r>
  <r>
    <x v="7"/>
    <x v="6"/>
    <x v="6"/>
    <x v="6"/>
    <x v="6"/>
    <x v="7"/>
    <x v="0"/>
    <x v="3"/>
    <x v="2"/>
    <x v="7"/>
    <x v="7"/>
    <x v="7"/>
    <x v="7"/>
    <x v="7"/>
    <x v="7"/>
    <x v="0"/>
    <x v="6"/>
    <x v="0"/>
    <x v="0"/>
  </r>
  <r>
    <x v="8"/>
    <x v="7"/>
    <x v="7"/>
    <x v="7"/>
    <x v="7"/>
    <x v="0"/>
    <x v="0"/>
    <x v="0"/>
    <x v="5"/>
    <x v="8"/>
    <x v="8"/>
    <x v="8"/>
    <x v="8"/>
    <x v="8"/>
    <x v="8"/>
    <x v="2"/>
    <x v="7"/>
    <x v="0"/>
    <x v="0"/>
  </r>
  <r>
    <x v="9"/>
    <x v="8"/>
    <x v="8"/>
    <x v="8"/>
    <x v="8"/>
    <x v="8"/>
    <x v="1"/>
    <x v="1"/>
    <x v="0"/>
    <x v="9"/>
    <x v="9"/>
    <x v="9"/>
    <x v="9"/>
    <x v="9"/>
    <x v="9"/>
    <x v="3"/>
    <x v="8"/>
    <x v="0"/>
    <x v="0"/>
  </r>
  <r>
    <x v="10"/>
    <x v="9"/>
    <x v="9"/>
    <x v="2"/>
    <x v="9"/>
    <x v="9"/>
    <x v="0"/>
    <x v="2"/>
    <x v="0"/>
    <x v="10"/>
    <x v="10"/>
    <x v="10"/>
    <x v="9"/>
    <x v="10"/>
    <x v="10"/>
    <x v="3"/>
    <x v="9"/>
    <x v="0"/>
    <x v="2"/>
  </r>
  <r>
    <x v="11"/>
    <x v="8"/>
    <x v="1"/>
    <x v="1"/>
    <x v="1"/>
    <x v="10"/>
    <x v="0"/>
    <x v="3"/>
    <x v="5"/>
    <x v="11"/>
    <x v="11"/>
    <x v="2"/>
    <x v="7"/>
    <x v="11"/>
    <x v="11"/>
    <x v="3"/>
    <x v="1"/>
    <x v="0"/>
    <x v="0"/>
  </r>
  <r>
    <x v="12"/>
    <x v="10"/>
    <x v="10"/>
    <x v="9"/>
    <x v="10"/>
    <x v="11"/>
    <x v="1"/>
    <x v="0"/>
    <x v="0"/>
    <x v="12"/>
    <x v="12"/>
    <x v="2"/>
    <x v="3"/>
    <x v="12"/>
    <x v="12"/>
    <x v="3"/>
    <x v="10"/>
    <x v="0"/>
    <x v="0"/>
  </r>
  <r>
    <x v="13"/>
    <x v="11"/>
    <x v="11"/>
    <x v="10"/>
    <x v="11"/>
    <x v="12"/>
    <x v="0"/>
    <x v="1"/>
    <x v="2"/>
    <x v="13"/>
    <x v="13"/>
    <x v="11"/>
    <x v="10"/>
    <x v="10"/>
    <x v="13"/>
    <x v="3"/>
    <x v="11"/>
    <x v="0"/>
    <x v="0"/>
  </r>
  <r>
    <x v="14"/>
    <x v="12"/>
    <x v="12"/>
    <x v="11"/>
    <x v="12"/>
    <x v="2"/>
    <x v="1"/>
    <x v="2"/>
    <x v="1"/>
    <x v="14"/>
    <x v="14"/>
    <x v="12"/>
    <x v="9"/>
    <x v="11"/>
    <x v="14"/>
    <x v="3"/>
    <x v="12"/>
    <x v="0"/>
    <x v="0"/>
  </r>
  <r>
    <x v="15"/>
    <x v="13"/>
    <x v="13"/>
    <x v="12"/>
    <x v="13"/>
    <x v="4"/>
    <x v="0"/>
    <x v="3"/>
    <x v="0"/>
    <x v="15"/>
    <x v="15"/>
    <x v="13"/>
    <x v="6"/>
    <x v="13"/>
    <x v="15"/>
    <x v="4"/>
    <x v="13"/>
    <x v="0"/>
    <x v="0"/>
  </r>
  <r>
    <x v="16"/>
    <x v="14"/>
    <x v="14"/>
    <x v="13"/>
    <x v="14"/>
    <x v="6"/>
    <x v="1"/>
    <x v="0"/>
    <x v="5"/>
    <x v="16"/>
    <x v="16"/>
    <x v="14"/>
    <x v="6"/>
    <x v="10"/>
    <x v="16"/>
    <x v="5"/>
    <x v="14"/>
    <x v="0"/>
    <x v="0"/>
  </r>
  <r>
    <x v="17"/>
    <x v="15"/>
    <x v="2"/>
    <x v="2"/>
    <x v="2"/>
    <x v="5"/>
    <x v="0"/>
    <x v="1"/>
    <x v="3"/>
    <x v="17"/>
    <x v="17"/>
    <x v="15"/>
    <x v="11"/>
    <x v="14"/>
    <x v="17"/>
    <x v="4"/>
    <x v="2"/>
    <x v="0"/>
    <x v="2"/>
  </r>
  <r>
    <x v="18"/>
    <x v="16"/>
    <x v="15"/>
    <x v="14"/>
    <x v="15"/>
    <x v="9"/>
    <x v="0"/>
    <x v="2"/>
    <x v="2"/>
    <x v="18"/>
    <x v="16"/>
    <x v="14"/>
    <x v="6"/>
    <x v="10"/>
    <x v="18"/>
    <x v="4"/>
    <x v="15"/>
    <x v="0"/>
    <x v="0"/>
  </r>
  <r>
    <x v="19"/>
    <x v="17"/>
    <x v="16"/>
    <x v="15"/>
    <x v="16"/>
    <x v="3"/>
    <x v="1"/>
    <x v="3"/>
    <x v="0"/>
    <x v="19"/>
    <x v="18"/>
    <x v="16"/>
    <x v="3"/>
    <x v="15"/>
    <x v="19"/>
    <x v="4"/>
    <x v="16"/>
    <x v="0"/>
    <x v="0"/>
  </r>
  <r>
    <x v="20"/>
    <x v="18"/>
    <x v="17"/>
    <x v="16"/>
    <x v="17"/>
    <x v="0"/>
    <x v="0"/>
    <x v="0"/>
    <x v="5"/>
    <x v="20"/>
    <x v="19"/>
    <x v="17"/>
    <x v="6"/>
    <x v="16"/>
    <x v="20"/>
    <x v="4"/>
    <x v="17"/>
    <x v="0"/>
    <x v="0"/>
  </r>
  <r>
    <x v="21"/>
    <x v="19"/>
    <x v="18"/>
    <x v="17"/>
    <x v="18"/>
    <x v="1"/>
    <x v="0"/>
    <x v="1"/>
    <x v="6"/>
    <x v="21"/>
    <x v="20"/>
    <x v="5"/>
    <x v="7"/>
    <x v="17"/>
    <x v="21"/>
    <x v="6"/>
    <x v="18"/>
    <x v="0"/>
    <x v="0"/>
  </r>
  <r>
    <x v="22"/>
    <x v="20"/>
    <x v="19"/>
    <x v="18"/>
    <x v="19"/>
    <x v="2"/>
    <x v="1"/>
    <x v="2"/>
    <x v="4"/>
    <x v="22"/>
    <x v="21"/>
    <x v="18"/>
    <x v="9"/>
    <x v="18"/>
    <x v="22"/>
    <x v="7"/>
    <x v="19"/>
    <x v="0"/>
    <x v="0"/>
  </r>
  <r>
    <x v="23"/>
    <x v="21"/>
    <x v="20"/>
    <x v="19"/>
    <x v="20"/>
    <x v="10"/>
    <x v="0"/>
    <x v="3"/>
    <x v="0"/>
    <x v="23"/>
    <x v="22"/>
    <x v="19"/>
    <x v="9"/>
    <x v="19"/>
    <x v="23"/>
    <x v="7"/>
    <x v="20"/>
    <x v="0"/>
    <x v="0"/>
  </r>
  <r>
    <x v="24"/>
    <x v="22"/>
    <x v="21"/>
    <x v="20"/>
    <x v="21"/>
    <x v="8"/>
    <x v="1"/>
    <x v="0"/>
    <x v="5"/>
    <x v="24"/>
    <x v="23"/>
    <x v="20"/>
    <x v="11"/>
    <x v="20"/>
    <x v="24"/>
    <x v="7"/>
    <x v="21"/>
    <x v="0"/>
    <x v="0"/>
  </r>
  <r>
    <x v="25"/>
    <x v="23"/>
    <x v="22"/>
    <x v="2"/>
    <x v="22"/>
    <x v="12"/>
    <x v="0"/>
    <x v="1"/>
    <x v="0"/>
    <x v="25"/>
    <x v="24"/>
    <x v="21"/>
    <x v="12"/>
    <x v="21"/>
    <x v="25"/>
    <x v="7"/>
    <x v="22"/>
    <x v="0"/>
    <x v="2"/>
  </r>
  <r>
    <x v="26"/>
    <x v="24"/>
    <x v="23"/>
    <x v="21"/>
    <x v="23"/>
    <x v="7"/>
    <x v="0"/>
    <x v="2"/>
    <x v="1"/>
    <x v="26"/>
    <x v="25"/>
    <x v="3"/>
    <x v="9"/>
    <x v="2"/>
    <x v="26"/>
    <x v="7"/>
    <x v="23"/>
    <x v="0"/>
    <x v="0"/>
  </r>
  <r>
    <x v="27"/>
    <x v="25"/>
    <x v="24"/>
    <x v="22"/>
    <x v="24"/>
    <x v="6"/>
    <x v="1"/>
    <x v="3"/>
    <x v="5"/>
    <x v="27"/>
    <x v="26"/>
    <x v="22"/>
    <x v="6"/>
    <x v="22"/>
    <x v="27"/>
    <x v="7"/>
    <x v="24"/>
    <x v="0"/>
    <x v="0"/>
  </r>
  <r>
    <x v="28"/>
    <x v="26"/>
    <x v="25"/>
    <x v="23"/>
    <x v="25"/>
    <x v="4"/>
    <x v="0"/>
    <x v="0"/>
    <x v="2"/>
    <x v="28"/>
    <x v="27"/>
    <x v="23"/>
    <x v="10"/>
    <x v="23"/>
    <x v="28"/>
    <x v="8"/>
    <x v="25"/>
    <x v="0"/>
    <x v="0"/>
  </r>
  <r>
    <x v="29"/>
    <x v="27"/>
    <x v="26"/>
    <x v="24"/>
    <x v="26"/>
    <x v="11"/>
    <x v="1"/>
    <x v="1"/>
    <x v="0"/>
    <x v="29"/>
    <x v="25"/>
    <x v="3"/>
    <x v="9"/>
    <x v="2"/>
    <x v="29"/>
    <x v="7"/>
    <x v="26"/>
    <x v="0"/>
    <x v="0"/>
  </r>
  <r>
    <x v="2"/>
    <x v="28"/>
    <x v="2"/>
    <x v="2"/>
    <x v="2"/>
    <x v="2"/>
    <x v="1"/>
    <x v="2"/>
    <x v="2"/>
    <x v="2"/>
    <x v="2"/>
    <x v="2"/>
    <x v="2"/>
    <x v="2"/>
    <x v="2"/>
    <x v="0"/>
    <x v="2"/>
    <x v="0"/>
    <x v="1"/>
  </r>
  <r>
    <x v="3"/>
    <x v="2"/>
    <x v="3"/>
    <x v="3"/>
    <x v="3"/>
    <x v="3"/>
    <x v="1"/>
    <x v="3"/>
    <x v="0"/>
    <x v="3"/>
    <x v="3"/>
    <x v="12"/>
    <x v="13"/>
    <x v="24"/>
    <x v="3"/>
    <x v="0"/>
    <x v="3"/>
    <x v="0"/>
    <x v="1"/>
  </r>
  <r>
    <x v="4"/>
    <x v="29"/>
    <x v="4"/>
    <x v="4"/>
    <x v="4"/>
    <x v="4"/>
    <x v="0"/>
    <x v="0"/>
    <x v="3"/>
    <x v="4"/>
    <x v="4"/>
    <x v="4"/>
    <x v="4"/>
    <x v="4"/>
    <x v="4"/>
    <x v="9"/>
    <x v="4"/>
    <x v="0"/>
    <x v="1"/>
  </r>
</pivotCacheRecords>
</file>

<file path=xl/pivotCache/pivotCacheRecords2.xml><?xml version="1.0" encoding="utf-8"?>
<pivotCacheRecords xmlns="http://schemas.openxmlformats.org/spreadsheetml/2006/main" count="33">
  <r>
    <x v="0"/>
    <x v="0"/>
    <x v="0"/>
    <x v="0"/>
    <x v="0"/>
    <x v="0"/>
    <x v="0"/>
    <x v="0"/>
    <x v="0"/>
    <x v="0"/>
    <x v="0"/>
    <x v="0"/>
    <x v="0"/>
    <x v="0"/>
    <x v="0"/>
    <x v="0"/>
    <x v="0"/>
    <x v="0"/>
    <x v="0"/>
  </r>
  <r>
    <x v="1"/>
    <x v="1"/>
    <x v="1"/>
    <x v="1"/>
    <x v="1"/>
    <x v="1"/>
    <x v="0"/>
    <x v="1"/>
    <x v="1"/>
    <x v="1"/>
    <x v="1"/>
    <x v="1"/>
    <x v="1"/>
    <x v="1"/>
    <x v="1"/>
    <x v="0"/>
    <x v="1"/>
    <x v="0"/>
    <x v="0"/>
  </r>
  <r>
    <x v="2"/>
    <x v="0"/>
    <x v="2"/>
    <x v="2"/>
    <x v="2"/>
    <x v="2"/>
    <x v="1"/>
    <x v="2"/>
    <x v="2"/>
    <x v="2"/>
    <x v="2"/>
    <x v="2"/>
    <x v="2"/>
    <x v="2"/>
    <x v="2"/>
    <x v="0"/>
    <x v="2"/>
    <x v="0"/>
    <x v="1"/>
  </r>
  <r>
    <x v="3"/>
    <x v="2"/>
    <x v="3"/>
    <x v="3"/>
    <x v="3"/>
    <x v="3"/>
    <x v="1"/>
    <x v="3"/>
    <x v="0"/>
    <x v="3"/>
    <x v="3"/>
    <x v="3"/>
    <x v="3"/>
    <x v="3"/>
    <x v="3"/>
    <x v="0"/>
    <x v="3"/>
    <x v="0"/>
    <x v="1"/>
  </r>
  <r>
    <x v="4"/>
    <x v="3"/>
    <x v="4"/>
    <x v="4"/>
    <x v="4"/>
    <x v="4"/>
    <x v="0"/>
    <x v="0"/>
    <x v="3"/>
    <x v="4"/>
    <x v="4"/>
    <x v="4"/>
    <x v="4"/>
    <x v="4"/>
    <x v="4"/>
    <x v="0"/>
    <x v="4"/>
    <x v="0"/>
    <x v="1"/>
  </r>
  <r>
    <x v="5"/>
    <x v="4"/>
    <x v="0"/>
    <x v="0"/>
    <x v="0"/>
    <x v="5"/>
    <x v="0"/>
    <x v="1"/>
    <x v="4"/>
    <x v="5"/>
    <x v="5"/>
    <x v="5"/>
    <x v="5"/>
    <x v="5"/>
    <x v="5"/>
    <x v="1"/>
    <x v="0"/>
    <x v="0"/>
    <x v="0"/>
  </r>
  <r>
    <x v="6"/>
    <x v="5"/>
    <x v="5"/>
    <x v="5"/>
    <x v="5"/>
    <x v="6"/>
    <x v="1"/>
    <x v="2"/>
    <x v="5"/>
    <x v="6"/>
    <x v="6"/>
    <x v="6"/>
    <x v="6"/>
    <x v="6"/>
    <x v="6"/>
    <x v="0"/>
    <x v="5"/>
    <x v="0"/>
    <x v="0"/>
  </r>
  <r>
    <x v="7"/>
    <x v="6"/>
    <x v="6"/>
    <x v="6"/>
    <x v="6"/>
    <x v="7"/>
    <x v="0"/>
    <x v="3"/>
    <x v="2"/>
    <x v="7"/>
    <x v="7"/>
    <x v="7"/>
    <x v="7"/>
    <x v="7"/>
    <x v="7"/>
    <x v="0"/>
    <x v="6"/>
    <x v="0"/>
    <x v="0"/>
  </r>
  <r>
    <x v="8"/>
    <x v="7"/>
    <x v="7"/>
    <x v="7"/>
    <x v="7"/>
    <x v="0"/>
    <x v="0"/>
    <x v="0"/>
    <x v="5"/>
    <x v="8"/>
    <x v="8"/>
    <x v="8"/>
    <x v="8"/>
    <x v="8"/>
    <x v="8"/>
    <x v="2"/>
    <x v="7"/>
    <x v="0"/>
    <x v="0"/>
  </r>
  <r>
    <x v="9"/>
    <x v="8"/>
    <x v="8"/>
    <x v="8"/>
    <x v="8"/>
    <x v="8"/>
    <x v="1"/>
    <x v="1"/>
    <x v="0"/>
    <x v="9"/>
    <x v="9"/>
    <x v="9"/>
    <x v="9"/>
    <x v="9"/>
    <x v="9"/>
    <x v="3"/>
    <x v="8"/>
    <x v="0"/>
    <x v="0"/>
  </r>
  <r>
    <x v="10"/>
    <x v="9"/>
    <x v="9"/>
    <x v="2"/>
    <x v="9"/>
    <x v="9"/>
    <x v="0"/>
    <x v="2"/>
    <x v="0"/>
    <x v="10"/>
    <x v="10"/>
    <x v="10"/>
    <x v="9"/>
    <x v="10"/>
    <x v="10"/>
    <x v="3"/>
    <x v="9"/>
    <x v="0"/>
    <x v="2"/>
  </r>
  <r>
    <x v="11"/>
    <x v="8"/>
    <x v="1"/>
    <x v="1"/>
    <x v="1"/>
    <x v="10"/>
    <x v="0"/>
    <x v="3"/>
    <x v="5"/>
    <x v="11"/>
    <x v="11"/>
    <x v="2"/>
    <x v="7"/>
    <x v="11"/>
    <x v="11"/>
    <x v="3"/>
    <x v="1"/>
    <x v="0"/>
    <x v="0"/>
  </r>
  <r>
    <x v="12"/>
    <x v="10"/>
    <x v="10"/>
    <x v="9"/>
    <x v="10"/>
    <x v="11"/>
    <x v="1"/>
    <x v="0"/>
    <x v="0"/>
    <x v="12"/>
    <x v="12"/>
    <x v="2"/>
    <x v="3"/>
    <x v="12"/>
    <x v="12"/>
    <x v="3"/>
    <x v="10"/>
    <x v="0"/>
    <x v="0"/>
  </r>
  <r>
    <x v="13"/>
    <x v="11"/>
    <x v="11"/>
    <x v="10"/>
    <x v="11"/>
    <x v="12"/>
    <x v="0"/>
    <x v="1"/>
    <x v="2"/>
    <x v="13"/>
    <x v="13"/>
    <x v="11"/>
    <x v="10"/>
    <x v="10"/>
    <x v="13"/>
    <x v="3"/>
    <x v="11"/>
    <x v="0"/>
    <x v="0"/>
  </r>
  <r>
    <x v="14"/>
    <x v="12"/>
    <x v="12"/>
    <x v="11"/>
    <x v="12"/>
    <x v="2"/>
    <x v="1"/>
    <x v="2"/>
    <x v="1"/>
    <x v="14"/>
    <x v="14"/>
    <x v="12"/>
    <x v="9"/>
    <x v="11"/>
    <x v="14"/>
    <x v="3"/>
    <x v="12"/>
    <x v="0"/>
    <x v="0"/>
  </r>
  <r>
    <x v="15"/>
    <x v="13"/>
    <x v="13"/>
    <x v="12"/>
    <x v="13"/>
    <x v="4"/>
    <x v="0"/>
    <x v="3"/>
    <x v="0"/>
    <x v="15"/>
    <x v="15"/>
    <x v="13"/>
    <x v="6"/>
    <x v="13"/>
    <x v="15"/>
    <x v="4"/>
    <x v="13"/>
    <x v="0"/>
    <x v="0"/>
  </r>
  <r>
    <x v="16"/>
    <x v="14"/>
    <x v="14"/>
    <x v="13"/>
    <x v="14"/>
    <x v="6"/>
    <x v="1"/>
    <x v="0"/>
    <x v="5"/>
    <x v="16"/>
    <x v="16"/>
    <x v="14"/>
    <x v="6"/>
    <x v="10"/>
    <x v="16"/>
    <x v="5"/>
    <x v="14"/>
    <x v="0"/>
    <x v="0"/>
  </r>
  <r>
    <x v="17"/>
    <x v="15"/>
    <x v="2"/>
    <x v="2"/>
    <x v="2"/>
    <x v="5"/>
    <x v="0"/>
    <x v="1"/>
    <x v="3"/>
    <x v="17"/>
    <x v="17"/>
    <x v="15"/>
    <x v="11"/>
    <x v="14"/>
    <x v="17"/>
    <x v="4"/>
    <x v="2"/>
    <x v="0"/>
    <x v="2"/>
  </r>
  <r>
    <x v="18"/>
    <x v="16"/>
    <x v="15"/>
    <x v="14"/>
    <x v="15"/>
    <x v="9"/>
    <x v="0"/>
    <x v="2"/>
    <x v="2"/>
    <x v="18"/>
    <x v="16"/>
    <x v="14"/>
    <x v="6"/>
    <x v="10"/>
    <x v="18"/>
    <x v="4"/>
    <x v="15"/>
    <x v="0"/>
    <x v="0"/>
  </r>
  <r>
    <x v="19"/>
    <x v="17"/>
    <x v="16"/>
    <x v="15"/>
    <x v="16"/>
    <x v="3"/>
    <x v="1"/>
    <x v="3"/>
    <x v="0"/>
    <x v="19"/>
    <x v="18"/>
    <x v="16"/>
    <x v="3"/>
    <x v="15"/>
    <x v="19"/>
    <x v="4"/>
    <x v="16"/>
    <x v="0"/>
    <x v="0"/>
  </r>
  <r>
    <x v="20"/>
    <x v="18"/>
    <x v="17"/>
    <x v="16"/>
    <x v="17"/>
    <x v="0"/>
    <x v="0"/>
    <x v="0"/>
    <x v="5"/>
    <x v="20"/>
    <x v="19"/>
    <x v="17"/>
    <x v="6"/>
    <x v="16"/>
    <x v="20"/>
    <x v="4"/>
    <x v="17"/>
    <x v="0"/>
    <x v="0"/>
  </r>
  <r>
    <x v="21"/>
    <x v="19"/>
    <x v="18"/>
    <x v="17"/>
    <x v="18"/>
    <x v="1"/>
    <x v="0"/>
    <x v="1"/>
    <x v="6"/>
    <x v="21"/>
    <x v="20"/>
    <x v="5"/>
    <x v="7"/>
    <x v="17"/>
    <x v="21"/>
    <x v="6"/>
    <x v="18"/>
    <x v="0"/>
    <x v="0"/>
  </r>
  <r>
    <x v="22"/>
    <x v="20"/>
    <x v="19"/>
    <x v="18"/>
    <x v="19"/>
    <x v="2"/>
    <x v="1"/>
    <x v="2"/>
    <x v="4"/>
    <x v="22"/>
    <x v="21"/>
    <x v="18"/>
    <x v="9"/>
    <x v="18"/>
    <x v="22"/>
    <x v="7"/>
    <x v="19"/>
    <x v="0"/>
    <x v="0"/>
  </r>
  <r>
    <x v="23"/>
    <x v="21"/>
    <x v="20"/>
    <x v="19"/>
    <x v="20"/>
    <x v="10"/>
    <x v="0"/>
    <x v="3"/>
    <x v="0"/>
    <x v="23"/>
    <x v="22"/>
    <x v="19"/>
    <x v="9"/>
    <x v="19"/>
    <x v="23"/>
    <x v="7"/>
    <x v="20"/>
    <x v="0"/>
    <x v="0"/>
  </r>
  <r>
    <x v="24"/>
    <x v="22"/>
    <x v="21"/>
    <x v="20"/>
    <x v="21"/>
    <x v="8"/>
    <x v="1"/>
    <x v="0"/>
    <x v="5"/>
    <x v="24"/>
    <x v="23"/>
    <x v="20"/>
    <x v="11"/>
    <x v="20"/>
    <x v="24"/>
    <x v="7"/>
    <x v="21"/>
    <x v="0"/>
    <x v="0"/>
  </r>
  <r>
    <x v="25"/>
    <x v="23"/>
    <x v="22"/>
    <x v="2"/>
    <x v="22"/>
    <x v="12"/>
    <x v="0"/>
    <x v="1"/>
    <x v="0"/>
    <x v="25"/>
    <x v="24"/>
    <x v="21"/>
    <x v="12"/>
    <x v="21"/>
    <x v="25"/>
    <x v="7"/>
    <x v="22"/>
    <x v="0"/>
    <x v="2"/>
  </r>
  <r>
    <x v="26"/>
    <x v="24"/>
    <x v="23"/>
    <x v="21"/>
    <x v="23"/>
    <x v="7"/>
    <x v="0"/>
    <x v="2"/>
    <x v="1"/>
    <x v="26"/>
    <x v="25"/>
    <x v="3"/>
    <x v="9"/>
    <x v="2"/>
    <x v="26"/>
    <x v="7"/>
    <x v="23"/>
    <x v="0"/>
    <x v="0"/>
  </r>
  <r>
    <x v="27"/>
    <x v="25"/>
    <x v="24"/>
    <x v="22"/>
    <x v="24"/>
    <x v="6"/>
    <x v="1"/>
    <x v="3"/>
    <x v="5"/>
    <x v="27"/>
    <x v="26"/>
    <x v="22"/>
    <x v="6"/>
    <x v="22"/>
    <x v="27"/>
    <x v="7"/>
    <x v="24"/>
    <x v="0"/>
    <x v="0"/>
  </r>
  <r>
    <x v="28"/>
    <x v="26"/>
    <x v="25"/>
    <x v="23"/>
    <x v="25"/>
    <x v="4"/>
    <x v="0"/>
    <x v="0"/>
    <x v="2"/>
    <x v="28"/>
    <x v="27"/>
    <x v="23"/>
    <x v="10"/>
    <x v="23"/>
    <x v="28"/>
    <x v="8"/>
    <x v="25"/>
    <x v="0"/>
    <x v="0"/>
  </r>
  <r>
    <x v="29"/>
    <x v="27"/>
    <x v="26"/>
    <x v="24"/>
    <x v="26"/>
    <x v="11"/>
    <x v="1"/>
    <x v="1"/>
    <x v="0"/>
    <x v="29"/>
    <x v="25"/>
    <x v="3"/>
    <x v="9"/>
    <x v="2"/>
    <x v="29"/>
    <x v="7"/>
    <x v="26"/>
    <x v="0"/>
    <x v="0"/>
  </r>
  <r>
    <x v="2"/>
    <x v="28"/>
    <x v="2"/>
    <x v="2"/>
    <x v="2"/>
    <x v="2"/>
    <x v="1"/>
    <x v="2"/>
    <x v="2"/>
    <x v="2"/>
    <x v="2"/>
    <x v="2"/>
    <x v="2"/>
    <x v="2"/>
    <x v="2"/>
    <x v="0"/>
    <x v="2"/>
    <x v="0"/>
    <x v="1"/>
  </r>
  <r>
    <x v="3"/>
    <x v="2"/>
    <x v="3"/>
    <x v="3"/>
    <x v="3"/>
    <x v="3"/>
    <x v="1"/>
    <x v="3"/>
    <x v="0"/>
    <x v="3"/>
    <x v="3"/>
    <x v="12"/>
    <x v="13"/>
    <x v="24"/>
    <x v="3"/>
    <x v="0"/>
    <x v="3"/>
    <x v="0"/>
    <x v="1"/>
  </r>
  <r>
    <x v="4"/>
    <x v="29"/>
    <x v="4"/>
    <x v="4"/>
    <x v="4"/>
    <x v="4"/>
    <x v="0"/>
    <x v="0"/>
    <x v="3"/>
    <x v="4"/>
    <x v="4"/>
    <x v="4"/>
    <x v="4"/>
    <x v="4"/>
    <x v="4"/>
    <x v="9"/>
    <x v="4"/>
    <x v="0"/>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SalesPivot1" cacheId="1" dataOnRows="0" dataCaption="Values" grandTotalCaption="Grand Total"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8:D22" firstHeaderRow="0" firstDataRow="1" firstDataCol="1"/>
  <pivotFields count="19">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axis="axisRow" showDropDowns="1" compact="0" outline="0" subtotalTop="1" dragToRow="1" dragToCol="1" dragToPage="1" dragToData="1" dragOff="1" showAll="1" topAutoShow="1" itemPageCount="10" sortType="manual" defaultSubtotal="0">
      <items count="14">
        <item t="data" sd="1" x="4"/>
        <item t="data" sd="1" x="0"/>
        <item t="data" sd="1" x="6"/>
        <item t="data" sd="1" x="12"/>
        <item t="data" sd="1" x="9"/>
        <item t="data" sd="1" x="2"/>
        <item t="data" sd="1" x="3"/>
        <item t="data" sd="1" x="10"/>
        <item t="data" sd="1" x="11"/>
        <item t="data" sd="1" x="8"/>
        <item t="data" sd="1" x="7"/>
        <item t="data" sd="1" x="5"/>
        <item t="data" sd="1" x="1"/>
        <item t="default" sd="1"/>
      </items>
    </pivotField>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s>
  <rowFields count="1">
    <field x="5"/>
  </rowFields>
  <rowItems count="14">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grand" r="0" i="0">
      <x v="0"/>
    </i>
  </rowItems>
  <colFields count="1">
    <field x="-2"/>
  </colFields>
  <colItems count="3">
    <i t="data" r="0" i="0">
      <x v="0"/>
    </i>
    <i t="data" r="0" i="1">
      <x v="1"/>
    </i>
    <i t="data" r="0" i="2">
      <x v="2"/>
    </i>
  </colItems>
  <dataFields count="3">
    <dataField name="Sales" fld="10" subtotal="sum" showDataAs="normal" baseField="-1" baseItem="1048832" numFmtId="3"/>
    <dataField name="Quantity" fld="8" subtotal="sum" showDataAs="normal" baseField="-1" baseItem="1048832" numFmtId="3"/>
    <dataField name="Profit" fld="12" subtotal="sum" showDataAs="normal" baseField="-1" baseItem="1048832" numFmtId="3"/>
  </dataFields>
  <pivotTableStyleInfo name="PivotStyleMedium9" showRowHeaders="1" showColHeaders="1" showRowStripes="1" showColStripes="0" showLastColumn="1"/>
</pivotTableDefinition>
</file>

<file path=xl/pivotTables/pivotTable2.xml><?xml version="1.0" encoding="utf-8"?>
<pivotTableDefinition xmlns:r="http://schemas.openxmlformats.org/officeDocument/2006/relationships" xmlns="http://schemas.openxmlformats.org/spreadsheetml/2006/main" name="SalesPivot2" cacheId="1" dataOnRows="0" dataCaption="Values" grandTotalCaption="Grand Total"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27:E30" firstHeaderRow="0" firstDataRow="1" firstDataCol="1"/>
  <pivotFields count="19">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axis="axisRow" showDropDowns="1" compact="0" outline="0" subtotalTop="1" dragToRow="1" dragToCol="1" dragToPage="1" dragToData="1" dragOff="1" showAll="1" topAutoShow="1" itemPageCount="10" sortType="manual" defaultSubtotal="0">
      <items count="3">
        <item t="data" sd="1" x="0"/>
        <item t="data" sd="1" x="1"/>
        <item t="default" sd="1"/>
      </items>
    </pivotField>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s>
  <rowFields count="1">
    <field x="6"/>
  </rowFields>
  <rowItems count="3">
    <i t="data" r="0" i="0">
      <x v="0"/>
    </i>
    <i t="data" r="0" i="0">
      <x v="1"/>
    </i>
    <i t="grand" r="0" i="0">
      <x v="0"/>
    </i>
  </rowItems>
  <colFields count="1">
    <field x="-2"/>
  </colFields>
  <colItems count="4">
    <i t="data" r="0" i="0">
      <x v="0"/>
    </i>
    <i t="data" r="0" i="1">
      <x v="1"/>
    </i>
    <i t="data" r="0" i="2">
      <x v="2"/>
    </i>
    <i t="data" r="0" i="3">
      <x v="3"/>
    </i>
  </colItems>
  <dataFields count="4">
    <dataField name="Sales" fld="10" subtotal="sum" showDataAs="normal" baseField="-1" baseItem="1048832" numFmtId="3"/>
    <dataField name="Cost" fld="11" subtotal="sum" showDataAs="normal" baseField="-1" baseItem="1048832" numFmtId="3"/>
    <dataField name="Profit" fld="12" subtotal="sum" showDataAs="normal" baseField="-1" baseItem="1048832" numFmtId="3"/>
    <dataField name="Quantity" fld="8" subtotal="sum" showDataAs="normal" baseField="-1" baseItem="1048832" numFmtId="3"/>
  </dataFields>
  <pivotTableStyleInfo name="PivotStyleMedium9" showRowHeaders="1" showColHeaders="1" showRowStripes="1" showColStripes="0" showLastColumn="1"/>
</pivotTableDefinition>
</file>

<file path=xl/pivotTables/pivotTable3.xml><?xml version="1.0" encoding="utf-8"?>
<pivotTableDefinition xmlns:r="http://schemas.openxmlformats.org/officeDocument/2006/relationships" xmlns="http://schemas.openxmlformats.org/spreadsheetml/2006/main" name="SalesPivot3" cacheId="1" dataOnRows="0" dataCaption="Values" grandTotalCaption="Grand Total"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35:E40" firstHeaderRow="0" firstDataRow="1" firstDataCol="1"/>
  <pivotFields count="19">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axis="axisRow" showDropDowns="1" compact="0" outline="0" subtotalTop="1" dragToRow="1" dragToCol="1" dragToPage="1" dragToData="1" dragOff="1" showAll="1" topAutoShow="1" itemPageCount="10" sortType="manual" defaultSubtotal="0">
      <items count="5">
        <item t="data" sd="1" x="0"/>
        <item t="data" sd="1" x="2"/>
        <item t="data" sd="1" x="3"/>
        <item t="data" sd="1" x="1"/>
        <item t="default" sd="1"/>
      </items>
    </pivotField>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s>
  <rowFields count="1">
    <field x="7"/>
  </rowFields>
  <rowItems count="5">
    <i t="data" r="0" i="0">
      <x v="0"/>
    </i>
    <i t="data" r="0" i="0">
      <x v="1"/>
    </i>
    <i t="data" r="0" i="0">
      <x v="2"/>
    </i>
    <i t="data" r="0" i="0">
      <x v="3"/>
    </i>
    <i t="grand" r="0" i="0">
      <x v="0"/>
    </i>
  </rowItems>
  <colFields count="1">
    <field x="-2"/>
  </colFields>
  <colItems count="4">
    <i t="data" r="0" i="0">
      <x v="0"/>
    </i>
    <i t="data" r="0" i="1">
      <x v="1"/>
    </i>
    <i t="data" r="0" i="2">
      <x v="2"/>
    </i>
    <i t="data" r="0" i="3">
      <x v="3"/>
    </i>
  </colItems>
  <dataFields count="4">
    <dataField name="Sales" fld="10" subtotal="sum" showDataAs="normal" baseField="-1" baseItem="1048832" numFmtId="3"/>
    <dataField name="Profit" fld="12" subtotal="sum" showDataAs="normal" baseField="-1" baseItem="1048832" numFmtId="3"/>
    <dataField name="Quantity" fld="8" subtotal="sum" showDataAs="normal" baseField="-1" baseItem="1048832" numFmtId="3"/>
    <dataField name="Sales records" fld="17" subtotal="sum" showDataAs="normal" baseField="-1" baseItem="1048832" numFmtId="3"/>
  </dataFields>
  <pivotTableStyleInfo name="PivotStyleMedium9" showRowHeaders="1" showColHeaders="1" showRowStripes="1" showColStripes="0" showLastColumn="1"/>
</pivotTableDefinition>
</file>

<file path=xl/pivotTables/pivotTable4.xml><?xml version="1.0" encoding="utf-8"?>
<pivotTableDefinition xmlns:r="http://schemas.openxmlformats.org/officeDocument/2006/relationships" xmlns="http://schemas.openxmlformats.org/spreadsheetml/2006/main" name="SalesPivot4" cacheId="1" dataOnRows="0" dataCaption="Values" grandTotalCaption="Grand Total"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45:D56" firstHeaderRow="0" firstDataRow="1" firstDataCol="1"/>
  <pivotFields count="19">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axis="axisRow" showDropDowns="1" compact="0" outline="0" subtotalTop="1" dragToRow="1" dragToCol="1" dragToPage="1" dragToData="1" dragOff="1" showAll="1" topAutoShow="1" itemPageCount="10" sortType="manual" defaultSubtotal="0">
      <items count="11">
        <item t="data" sd="1" x="9"/>
        <item t="data" sd="1" x="5"/>
        <item t="data" sd="1" x="6"/>
        <item t="data" sd="1" x="8"/>
        <item t="data" sd="1" x="0"/>
        <item t="data" sd="1" x="3"/>
        <item t="data" sd="1" x="4"/>
        <item t="data" sd="1" x="7"/>
        <item t="data" sd="1" x="1"/>
        <item t="data" sd="1" x="2"/>
        <item t="default" sd="1"/>
      </items>
    </pivotField>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s>
  <rowFields count="1">
    <field x="15"/>
  </rowFields>
  <rowItems count="11">
    <i t="data" r="0" i="0">
      <x v="0"/>
    </i>
    <i t="data" r="0" i="0">
      <x v="1"/>
    </i>
    <i t="data" r="0" i="0">
      <x v="2"/>
    </i>
    <i t="data" r="0" i="0">
      <x v="3"/>
    </i>
    <i t="data" r="0" i="0">
      <x v="4"/>
    </i>
    <i t="data" r="0" i="0">
      <x v="5"/>
    </i>
    <i t="data" r="0" i="0">
      <x v="6"/>
    </i>
    <i t="data" r="0" i="0">
      <x v="7"/>
    </i>
    <i t="data" r="0" i="0">
      <x v="8"/>
    </i>
    <i t="data" r="0" i="0">
      <x v="9"/>
    </i>
    <i t="grand" r="0" i="0">
      <x v="0"/>
    </i>
  </rowItems>
  <colFields count="1">
    <field x="-2"/>
  </colFields>
  <colItems count="3">
    <i t="data" r="0" i="0">
      <x v="0"/>
    </i>
    <i t="data" r="0" i="1">
      <x v="1"/>
    </i>
    <i t="data" r="0" i="2">
      <x v="2"/>
    </i>
  </colItems>
  <dataFields count="3">
    <dataField name="Sales" fld="10" subtotal="sum" showDataAs="normal" baseField="-1" baseItem="1048832" numFmtId="3"/>
    <dataField name="Profit" fld="12" subtotal="sum" showDataAs="normal" baseField="-1" baseItem="1048832" numFmtId="3"/>
    <dataField name="Sales records" fld="17" subtotal="sum" showDataAs="normal" baseField="-1" baseItem="1048832" numFmtId="3"/>
  </dataFields>
  <pivotTableStyleInfo name="PivotStyleMedium9" showRowHeaders="1" showColHeaders="1" showRowStripes="1" showColStripes="0" showLastColumn="1"/>
</pivotTableDefinition>
</file>

<file path=xl/pivotTables/pivotTable5.xml><?xml version="1.0" encoding="utf-8"?>
<pivotTableDefinition xmlns:r="http://schemas.openxmlformats.org/officeDocument/2006/relationships" xmlns="http://schemas.openxmlformats.org/spreadsheetml/2006/main" name="SalesPivot5" cacheId="1" dataOnRows="0" dataCaption="Values" grandTotalCaption="Grand Total"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61:D89" firstHeaderRow="0" firstDataRow="1" firstDataCol="1"/>
  <pivotFields count="19">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axis="axisRow" showDropDowns="1" compact="0" outline="0" subtotalTop="1" dragToRow="1" dragToCol="1" dragToPage="1" dragToData="1" dragOff="1" showAll="1" topAutoShow="1" itemPageCount="10" sortType="manual" defaultSubtotal="0">
      <items count="28">
        <item t="data" sd="1" x="4"/>
        <item t="data" sd="1" x="0"/>
        <item t="data" sd="1" x="17"/>
        <item t="data" sd="1" x="25"/>
        <item t="data" sd="1" x="7"/>
        <item t="data" sd="1" x="11"/>
        <item t="data" sd="1" x="24"/>
        <item t="data" sd="1" x="13"/>
        <item t="data" sd="1" x="14"/>
        <item t="data" sd="1" x="15"/>
        <item t="data" sd="1" x="22"/>
        <item t="data" sd="1" x="5"/>
        <item t="data" sd="1" x="2"/>
        <item t="data" sd="1" x="9"/>
        <item t="data" sd="1" x="3"/>
        <item t="data" sd="1" x="20"/>
        <item t="data" sd="1" x="19"/>
        <item t="data" sd="1" x="12"/>
        <item t="data" sd="1" x="16"/>
        <item t="data" sd="1" x="8"/>
        <item t="data" sd="1" x="1"/>
        <item t="data" sd="1" x="26"/>
        <item t="data" sd="1" x="23"/>
        <item t="data" sd="1" x="10"/>
        <item t="data" sd="1" x="21"/>
        <item t="data" sd="1" x="6"/>
        <item t="data" sd="1" x="18"/>
        <item t="default" sd="1"/>
      </items>
    </pivotField>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s>
  <rowFields count="1">
    <field x="16"/>
  </rowFields>
  <rowItems count="28">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grand" r="0" i="0">
      <x v="0"/>
    </i>
  </rowItems>
  <colFields count="1">
    <field x="-2"/>
  </colFields>
  <colItems count="3">
    <i t="data" r="0" i="0">
      <x v="0"/>
    </i>
    <i t="data" r="0" i="1">
      <x v="1"/>
    </i>
    <i t="data" r="0" i="2">
      <x v="2"/>
    </i>
  </colItems>
  <dataFields count="3">
    <dataField name="Sales" fld="10" subtotal="sum" showDataAs="normal" baseField="-1" baseItem="1048832" numFmtId="3"/>
    <dataField name="Profit" fld="12" subtotal="sum" showDataAs="normal" baseField="-1" baseItem="1048832" numFmtId="3"/>
    <dataField name="Sales records" fld="17" subtotal="sum" showDataAs="normal" baseField="-1" baseItem="1048832" numFmtId="3"/>
  </dataFields>
  <pivotTableStyleInfo name="PivotStyleMedium9" showRowHeaders="1" showColHeaders="1" showRowStripes="1" showColStripes="0" showLastColumn="1"/>
</pivotTableDefinition>
</file>

<file path=xl/pivotTables/pivotTable6.xml><?xml version="1.0" encoding="utf-8"?>
<pivotTableDefinition xmlns:r="http://schemas.openxmlformats.org/officeDocument/2006/relationships" xmlns="http://schemas.openxmlformats.org/spreadsheetml/2006/main" name="SalesPivot6" cacheId="1" dataOnRows="0" dataCaption="Values" grandTotalCaption="Grand Total"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94:D108" firstHeaderRow="0" firstDataRow="1" firstDataCol="1"/>
  <pivotFields count="19">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axis="axisRow" showDropDowns="1" compact="0" outline="0" subtotalTop="1" dragToRow="1" dragToCol="1" dragToPage="1" dragToData="1" dragOff="1" showAll="1" topAutoShow="1" itemPageCount="10" sortType="manual" defaultSubtotal="0">
      <items count="14">
        <item t="data" sd="1" x="4"/>
        <item t="data" sd="1" x="0"/>
        <item t="data" sd="1" x="6"/>
        <item t="data" sd="1" x="12"/>
        <item t="data" sd="1" x="9"/>
        <item t="data" sd="1" x="2"/>
        <item t="data" sd="1" x="3"/>
        <item t="data" sd="1" x="10"/>
        <item t="data" sd="1" x="11"/>
        <item t="data" sd="1" x="8"/>
        <item t="data" sd="1" x="7"/>
        <item t="data" sd="1" x="5"/>
        <item t="data" sd="1" x="1"/>
        <item t="default" sd="1"/>
      </items>
    </pivotField>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1"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 dataField="0" showDropDowns="1" compact="1" outline="1" subtotalTop="1" dragToRow="1" dragToCol="1" dragToPage="1" dragToData="1" dragOff="1" showAll="1" topAutoShow="1" itemPageCount="10" sortType="manual" defaultSubtotal="0"/>
  </pivotFields>
  <rowFields count="1">
    <field x="5"/>
  </rowFields>
  <rowItems count="14">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grand" r="0" i="0">
      <x v="0"/>
    </i>
  </rowItems>
  <colFields count="1">
    <field x="-2"/>
  </colFields>
  <colItems count="3">
    <i t="data" r="0" i="0">
      <x v="0"/>
    </i>
    <i t="data" r="0" i="1">
      <x v="1"/>
    </i>
    <i t="data" r="0" i="2">
      <x v="2"/>
    </i>
  </colItems>
  <dataFields count="3">
    <dataField name="Sales" fld="10" subtotal="sum" showDataAs="normal" baseField="-1" baseItem="1048832" numFmtId="3"/>
    <dataField name="Cost" fld="11" subtotal="sum" showDataAs="normal" baseField="-1" baseItem="1048832" numFmtId="3"/>
    <dataField name="Profit" fld="12" subtotal="sum" showDataAs="normal" baseField="-1" baseItem="1048832" numFmtId="3"/>
  </dataFields>
  <pivotTableStyleInfo name="PivotStyleMedium9" showRowHeaders="1" showColHeaders="1" showRowStripes="1" showColStripes="0" showLastColumn="1"/>
</pivotTableDefinition>
</file>

<file path=xl/tables/table1.xml><?xml version="1.0" encoding="utf-8"?>
<table xmlns="http://schemas.openxmlformats.org/spreadsheetml/2006/main" id="1" name="CleanSales" displayName="CleanSales" ref="A1:S34" totalsRowShown="0">
  <autoFilter ref="A1:S34"/>
  <tableColumns count="19">
    <tableColumn id="1" name="OrderID"/>
    <tableColumn id="2" name="OrderDate"/>
    <tableColumn id="3" name="CustomerID"/>
    <tableColumn id="4" name="FirstName"/>
    <tableColumn id="5" name="LastName"/>
    <tableColumn id="6" name="Product"/>
    <tableColumn id="7" name="Category"/>
    <tableColumn id="8" name="Region"/>
    <tableColumn id="9" name="Quantity"/>
    <tableColumn id="10" name="Price"/>
    <tableColumn id="11" name="Sales"/>
    <tableColumn id="12" name="Cost"/>
    <tableColumn id="13" name="Profit"/>
    <tableColumn id="14" name="Profit Margin %"/>
    <tableColumn id="15" name="Revenue per Unit"/>
    <tableColumn id="16" name="Month"/>
    <tableColumn id="17" name="Customer"/>
    <tableColumn id="18" name="Record Count"/>
    <tableColumn id="19" name="Quality Status"/>
  </tableColumns>
  <tableStyleInfo name="TableStyleMedium2" showFirstColumn="0" showLastColumn="0" showRowStripes="1" showColumnStripes="0"/>
</table>
</file>

<file path=xl/tables/table2.xml><?xml version="1.0" encoding="utf-8"?>
<table xmlns="http://schemas.openxmlformats.org/spreadsheetml/2006/main" id="2" name="RawSales" displayName="RawSales" ref="A1:M34" totalsRowShown="0">
  <autoFilter ref="A1:M34"/>
  <tableColumns count="13">
    <tableColumn id="1" name="OrderID"/>
    <tableColumn id="2" name="OrderDate"/>
    <tableColumn id="3" name="CustomerID"/>
    <tableColumn id="4" name="FirstName"/>
    <tableColumn id="5" name="LastName"/>
    <tableColumn id="6" name="Product"/>
    <tableColumn id="7" name="Category"/>
    <tableColumn id="8" name="Region"/>
    <tableColumn id="9" name="Quantity"/>
    <tableColumn id="10" name="Price"/>
    <tableColumn id="11" name="Sales"/>
    <tableColumn id="12" name="Cost"/>
    <tableColumn id="13" name="Profit"/>
  </tableColumns>
  <tableStyleInfo name="TableStyleMedium2" showFirstColumn="0" showLastColumn="0" showRowStripes="1" showColumnStripes="0"/>
</table>
</file>

<file path=xl/tables/table3.xml><?xml version="1.0" encoding="utf-8"?>
<table xmlns="http://schemas.openxmlformats.org/spreadsheetml/2006/main" id="3" name="QualityAudit" displayName="QualityAudit" ref="A6:F35" totalsRowShown="0">
  <autoFilter ref="A6:F35"/>
  <tableColumns count="6">
    <tableColumn id="1" name="Source Row"/>
    <tableColumn id="2" name="OrderID"/>
    <tableColumn id="3" name="Issue"/>
    <tableColumn id="4" name="Treatment / Finding"/>
    <tableColumn id="5" name="Status"/>
    <tableColumn id="6" name="Follow-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 Type="http://schemas.openxmlformats.org/officeDocument/2006/relationships/pivotTable" Target="/xl/pivotTables/pivotTable3.xml" Id="rId3"/><Relationship Type="http://schemas.openxmlformats.org/officeDocument/2006/relationships/pivotTable" Target="/xl/pivotTables/pivotTable4.xml" Id="rId4"/><Relationship Type="http://schemas.openxmlformats.org/officeDocument/2006/relationships/pivotTable" Target="/xl/pivotTables/pivotTable5.xml" Id="rId5"/><Relationship Type="http://schemas.openxmlformats.org/officeDocument/2006/relationships/pivotTable" Target="/xl/pivotTables/pivotTable6.xml" Id="rId6"/></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00A99D"/>
    <pageSetUpPr fitToPage="1"/>
  </sheetPr>
  <dimension ref="A1:R22"/>
  <sheetViews>
    <sheetView showGridLines="0" tabSelected="1" zoomScale="90" zoomScaleNormal="90" workbookViewId="0">
      <pane ySplit="9" topLeftCell="A10" activePane="bottomLeft" state="frozen"/>
      <selection pane="bottomLeft"/>
    </sheetView>
  </sheetViews>
  <sheetFormatPr defaultRowHeight="20" customHeight="1"/>
  <cols>
    <col min="1" max="18" width="10.7109375" customWidth="1"/>
  </cols>
  <sheetData>
    <row r="1" spans="1:18" ht="28" customHeight="1">
      <c r="A1" s="1" t="s">
        <v>197</v>
      </c>
      <c r="B1" s="1"/>
      <c r="C1" s="1"/>
      <c r="D1" s="1"/>
      <c r="E1" s="1"/>
      <c r="F1" s="1"/>
      <c r="G1" s="1"/>
      <c r="H1" s="1"/>
      <c r="I1" s="1"/>
      <c r="J1" s="1"/>
      <c r="K1" s="1"/>
      <c r="L1" s="1"/>
      <c r="M1" s="1"/>
      <c r="N1" s="1"/>
      <c r="O1" s="1"/>
      <c r="P1" s="1"/>
      <c r="Q1" s="1"/>
      <c r="R1" s="1"/>
    </row>
    <row r="2" spans="1:18" ht="20" customHeight="1">
      <c r="A2" s="1"/>
      <c r="B2" s="1"/>
      <c r="C2" s="1"/>
      <c r="D2" s="1"/>
      <c r="E2" s="1"/>
      <c r="F2" s="1"/>
      <c r="G2" s="1"/>
      <c r="H2" s="1"/>
      <c r="I2" s="1"/>
      <c r="J2" s="1"/>
      <c r="K2" s="1"/>
      <c r="L2" s="1"/>
      <c r="M2" s="1"/>
      <c r="N2" s="1"/>
      <c r="O2" s="1"/>
      <c r="P2" s="1"/>
      <c r="Q2" s="1"/>
      <c r="R2" s="1"/>
    </row>
    <row r="3" spans="1:18" ht="20" customHeight="1">
      <c r="A3" s="2" t="s">
        <v>198</v>
      </c>
      <c r="B3" s="2"/>
      <c r="C3" s="2"/>
      <c r="D3" s="2"/>
      <c r="E3" s="2"/>
      <c r="F3" s="2"/>
      <c r="G3" s="2"/>
      <c r="H3" s="2"/>
      <c r="I3" s="2"/>
      <c r="J3" s="2"/>
      <c r="K3" s="2"/>
      <c r="L3" s="2"/>
      <c r="M3" s="2"/>
      <c r="N3" s="2"/>
      <c r="O3" s="2"/>
      <c r="P3" s="2"/>
      <c r="Q3" s="2"/>
      <c r="R3" s="2"/>
    </row>
    <row r="4" spans="1:18" ht="20" customHeight="1">
      <c r="A4" s="2"/>
      <c r="B4" s="2"/>
      <c r="C4" s="2"/>
      <c r="D4" s="2"/>
      <c r="E4" s="2"/>
      <c r="F4" s="2"/>
      <c r="G4" s="2"/>
      <c r="H4" s="2"/>
      <c r="I4" s="2"/>
      <c r="J4" s="2"/>
      <c r="K4" s="2"/>
      <c r="L4" s="2"/>
      <c r="M4" s="2"/>
      <c r="N4" s="2"/>
      <c r="O4" s="2"/>
      <c r="P4" s="2"/>
      <c r="Q4" s="2"/>
      <c r="R4" s="2"/>
    </row>
    <row r="5" spans="1:18" ht="20" customHeight="1">
      <c r="B5" s="3" t="s">
        <v>200</v>
      </c>
      <c r="F5" s="3" t="s">
        <v>201</v>
      </c>
      <c r="J5" s="3" t="s">
        <v>202</v>
      </c>
      <c r="N5" s="3" t="s">
        <v>203</v>
      </c>
    </row>
    <row r="6" spans="1:18" ht="20" customHeight="1">
      <c r="B6" s="4" t="s">
        <v>199</v>
      </c>
      <c r="F6" s="4" t="s">
        <v>199</v>
      </c>
      <c r="J6" s="4" t="s">
        <v>199</v>
      </c>
      <c r="N6" s="4" t="s">
        <v>199</v>
      </c>
    </row>
    <row r="8" spans="1:18" ht="20" customHeight="1">
      <c r="A8" s="3" t="s">
        <v>204</v>
      </c>
      <c r="B8" s="5">
        <v>45306</v>
      </c>
      <c r="E8" s="3" t="s">
        <v>205</v>
      </c>
      <c r="F8" s="5">
        <v>46055</v>
      </c>
      <c r="I8" s="6" t="s">
        <v>206</v>
      </c>
      <c r="J8" s="6"/>
      <c r="K8" s="6"/>
      <c r="L8" s="6"/>
      <c r="M8" s="6"/>
      <c r="N8" s="6"/>
      <c r="O8" s="6"/>
      <c r="P8" s="6"/>
      <c r="Q8" s="6"/>
      <c r="R8" s="6"/>
    </row>
    <row r="11" spans="1:18" ht="20" customHeight="1">
      <c r="A11" s="7" t="s">
        <v>248</v>
      </c>
      <c r="B11" s="7"/>
      <c r="C11" s="7"/>
      <c r="D11" s="7"/>
      <c r="E11" s="7"/>
      <c r="G11" s="7" t="s">
        <v>249</v>
      </c>
      <c r="H11" s="7"/>
      <c r="I11" s="7"/>
      <c r="J11" s="7"/>
      <c r="K11" s="7"/>
      <c r="M11" s="7" t="s">
        <v>250</v>
      </c>
      <c r="N11" s="7"/>
      <c r="O11" s="7"/>
      <c r="P11" s="7"/>
      <c r="Q11" s="7"/>
    </row>
    <row r="12" spans="1:18" ht="20" customHeight="1">
      <c r="A12" s="8">
        <f>'Calculations_KPIs'!B6</f>
        <v>1037200.0</v>
      </c>
      <c r="B12" s="8"/>
      <c r="C12" s="8"/>
      <c r="D12" s="8"/>
      <c r="E12" s="8"/>
      <c r="G12" s="8">
        <f>'Calculations_KPIs'!B8</f>
        <v>186700.0</v>
      </c>
      <c r="H12" s="8"/>
      <c r="I12" s="8"/>
      <c r="J12" s="8"/>
      <c r="K12" s="8"/>
      <c r="M12" s="9">
        <f>'Calculations_KPIs'!B9</f>
        <v>0.18000385653682993</v>
      </c>
      <c r="N12" s="9"/>
      <c r="O12" s="9"/>
      <c r="P12" s="9"/>
      <c r="Q12" s="9"/>
    </row>
    <row r="13" spans="1:18" ht="20" customHeight="1">
      <c r="A13" s="8"/>
      <c r="B13" s="8"/>
      <c r="C13" s="8"/>
      <c r="D13" s="8"/>
      <c r="E13" s="8"/>
      <c r="G13" s="8"/>
      <c r="H13" s="8"/>
      <c r="I13" s="8"/>
      <c r="J13" s="8"/>
      <c r="K13" s="8"/>
      <c r="M13" s="9"/>
      <c r="N13" s="9"/>
      <c r="O13" s="9"/>
      <c r="P13" s="9"/>
      <c r="Q13" s="9"/>
    </row>
    <row r="14" spans="1:18" ht="20" customHeight="1">
      <c r="A14" s="8"/>
      <c r="B14" s="8"/>
      <c r="C14" s="8"/>
      <c r="D14" s="8"/>
      <c r="E14" s="8"/>
      <c r="G14" s="8"/>
      <c r="H14" s="8"/>
      <c r="I14" s="8"/>
      <c r="J14" s="8"/>
      <c r="K14" s="8"/>
      <c r="M14" s="9"/>
      <c r="N14" s="9"/>
      <c r="O14" s="9"/>
      <c r="P14" s="9"/>
      <c r="Q14" s="9"/>
    </row>
    <row r="16" spans="1:18" ht="20" customHeight="1">
      <c r="A16" s="7" t="s">
        <v>251</v>
      </c>
      <c r="B16" s="7"/>
      <c r="C16" s="7"/>
      <c r="D16" s="7"/>
      <c r="E16" s="7"/>
      <c r="G16" s="7" t="s">
        <v>252</v>
      </c>
      <c r="H16" s="7"/>
      <c r="I16" s="7"/>
      <c r="J16" s="7"/>
      <c r="K16" s="7"/>
      <c r="M16" s="7" t="s">
        <v>253</v>
      </c>
      <c r="N16" s="7"/>
      <c r="O16" s="7"/>
      <c r="P16" s="7"/>
      <c r="Q16" s="7"/>
    </row>
    <row r="17" spans="1:18" ht="20" customHeight="1">
      <c r="A17" s="8">
        <f>'Calculations_KPIs'!B10</f>
        <v>30.0</v>
      </c>
      <c r="B17" s="8"/>
      <c r="C17" s="8"/>
      <c r="D17" s="8"/>
      <c r="E17" s="8"/>
      <c r="G17" s="8">
        <f>'Calculations_KPIs'!B11</f>
        <v>96.0</v>
      </c>
      <c r="H17" s="8"/>
      <c r="I17" s="8"/>
      <c r="J17" s="8"/>
      <c r="K17" s="8"/>
      <c r="M17" s="10">
        <f>'Calculations_KPIs'!B12</f>
        <v>34573.333333333336</v>
      </c>
      <c r="N17" s="10"/>
      <c r="O17" s="10"/>
      <c r="P17" s="10"/>
      <c r="Q17" s="10"/>
    </row>
    <row r="18" spans="1:18" ht="20" customHeight="1">
      <c r="A18" s="8"/>
      <c r="B18" s="8"/>
      <c r="C18" s="8"/>
      <c r="D18" s="8"/>
      <c r="E18" s="8"/>
      <c r="G18" s="8"/>
      <c r="H18" s="8"/>
      <c r="I18" s="8"/>
      <c r="J18" s="8"/>
      <c r="K18" s="8"/>
      <c r="M18" s="10"/>
      <c r="N18" s="10"/>
      <c r="O18" s="10"/>
      <c r="P18" s="10"/>
      <c r="Q18" s="10"/>
    </row>
    <row r="19" spans="1:18" ht="20" customHeight="1">
      <c r="A19" s="8"/>
      <c r="B19" s="8"/>
      <c r="C19" s="8"/>
      <c r="D19" s="8"/>
      <c r="E19" s="8"/>
      <c r="G19" s="8"/>
      <c r="H19" s="8"/>
      <c r="I19" s="8"/>
      <c r="J19" s="8"/>
      <c r="K19" s="8"/>
      <c r="M19" s="10"/>
      <c r="N19" s="10"/>
      <c r="O19" s="10"/>
      <c r="P19" s="10"/>
      <c r="Q19" s="10"/>
    </row>
    <row r="21" spans="1:18" ht="20" customHeight="1">
      <c r="A21" s="6" t="s">
        <v>254</v>
      </c>
      <c r="B21" s="6"/>
      <c r="C21" s="6"/>
      <c r="D21" s="6"/>
      <c r="E21" s="6"/>
      <c r="F21" s="6"/>
      <c r="G21" s="6"/>
      <c r="H21" s="6"/>
      <c r="I21" s="6"/>
      <c r="J21" s="6"/>
      <c r="K21" s="6"/>
      <c r="L21" s="6"/>
      <c r="M21" s="6"/>
      <c r="N21" s="6"/>
      <c r="O21" s="6"/>
      <c r="P21" s="6"/>
      <c r="Q21" s="6"/>
      <c r="R21" s="6"/>
    </row>
    <row r="22" spans="1:18" ht="20" customHeight="1">
      <c r="A22" s="6"/>
      <c r="B22" s="6"/>
      <c r="C22" s="6"/>
      <c r="D22" s="6"/>
      <c r="E22" s="6"/>
      <c r="F22" s="6"/>
      <c r="G22" s="6"/>
      <c r="H22" s="6"/>
      <c r="I22" s="6"/>
      <c r="J22" s="6"/>
      <c r="K22" s="6"/>
      <c r="L22" s="6"/>
      <c r="M22" s="6"/>
      <c r="N22" s="6"/>
      <c r="O22" s="6"/>
      <c r="P22" s="6"/>
      <c r="Q22" s="6"/>
      <c r="R22" s="6"/>
    </row>
  </sheetData>
  <mergeCells count="16">
    <mergeCell ref="A1:R2"/>
    <mergeCell ref="A3:R4"/>
    <mergeCell ref="I8:R8"/>
    <mergeCell ref="A11:E11"/>
    <mergeCell ref="A12:E14"/>
    <mergeCell ref="G11:K11"/>
    <mergeCell ref="G12:K14"/>
    <mergeCell ref="M11:Q11"/>
    <mergeCell ref="M12:Q14"/>
    <mergeCell ref="A16:E16"/>
    <mergeCell ref="A17:E19"/>
    <mergeCell ref="G16:K16"/>
    <mergeCell ref="G17:K19"/>
    <mergeCell ref="M16:Q16"/>
    <mergeCell ref="M17:Q19"/>
    <mergeCell ref="A21:R22"/>
  </mergeCells>
  <dataValidations count="6">
    <dataValidation type="list" allowBlank="1" showInputMessage="1" showErrorMessage="1" sqref="B6">
      <formula1>RegionOptions</formula1>
    </dataValidation>
    <dataValidation type="list" allowBlank="1" showInputMessage="1" showErrorMessage="1" sqref="F6">
      <formula1>CategoryOptions</formula1>
    </dataValidation>
    <dataValidation type="list" allowBlank="1" showInputMessage="1" showErrorMessage="1" sqref="J6">
      <formula1>ProductOptions</formula1>
    </dataValidation>
    <dataValidation type="list" allowBlank="1" showInputMessage="1" showErrorMessage="1" sqref="N6">
      <formula1>CustomerOptions</formula1>
    </dataValidation>
    <dataValidation type="date" allowBlank="1" showInputMessage="1" showErrorMessage="1" sqref="B8">
      <formula1>36526</formula1>
      <formula2>73415</formula2>
    </dataValidation>
    <dataValidation type="date" allowBlank="1" showInputMessage="1" showErrorMessage="1" sqref="F8">
      <formula1>36526</formula1>
      <formula2>73415</formula2>
    </dataValidation>
  </dataValidations>
  <pageMargins left="0.7" right="0.7" top="0.75" bottom="0.75" header="0.3" footer="0.3"/>
  <pageSetup paperSize="9" fitToHeight="0" orientation="landscape"/>
  <headerFooter>
    <oddFooter>&amp;LSales analysis | Source: supplied workbook&amp;RPage &amp;P of &amp;N</oddFooter>
  </headerFooter>
  <drawing r:id="rId1"/>
</worksheet>
</file>

<file path=xl/worksheets/sheet2.xml><?xml version="1.0" encoding="utf-8"?>
<worksheet xmlns="http://schemas.openxmlformats.org/spreadsheetml/2006/main" xmlns:r="http://schemas.openxmlformats.org/officeDocument/2006/relationships">
  <sheetPr>
    <tabColor rgb="FF00A99D"/>
    <pageSetUpPr fitToPage="1"/>
  </sheetPr>
  <dimension ref="A1:L72"/>
  <sheetViews>
    <sheetView showGridLines="0"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20" customHeight="1"/>
  <cols>
    <col min="1" max="1" width="4.7109375" customWidth="1"/>
    <col min="2" max="12" width="11.7109375" customWidth="1"/>
  </cols>
  <sheetData>
    <row r="1" spans="1:12" ht="28" customHeight="1">
      <c r="A1" s="1" t="s">
        <v>265</v>
      </c>
      <c r="B1" s="1"/>
      <c r="C1" s="1"/>
      <c r="D1" s="1"/>
      <c r="E1" s="1"/>
      <c r="F1" s="1"/>
      <c r="G1" s="1"/>
      <c r="H1" s="1"/>
      <c r="I1" s="1"/>
      <c r="J1" s="1"/>
      <c r="K1" s="1"/>
      <c r="L1" s="1"/>
    </row>
    <row r="2" spans="1:12" ht="20" customHeight="1">
      <c r="A2" s="1"/>
      <c r="B2" s="1"/>
      <c r="C2" s="1"/>
      <c r="D2" s="1"/>
      <c r="E2" s="1"/>
      <c r="F2" s="1"/>
      <c r="G2" s="1"/>
      <c r="H2" s="1"/>
      <c r="I2" s="1"/>
      <c r="J2" s="1"/>
      <c r="K2" s="1"/>
      <c r="L2" s="1"/>
    </row>
    <row r="3" spans="1:12" ht="20" customHeight="1">
      <c r="A3" s="2" t="s">
        <v>266</v>
      </c>
      <c r="B3" s="2"/>
      <c r="C3" s="2"/>
      <c r="D3" s="2"/>
      <c r="E3" s="2"/>
      <c r="F3" s="2"/>
      <c r="G3" s="2"/>
      <c r="H3" s="2"/>
      <c r="I3" s="2"/>
      <c r="J3" s="2"/>
      <c r="K3" s="2"/>
      <c r="L3" s="2"/>
    </row>
    <row r="4" spans="1:12" ht="20" customHeight="1">
      <c r="A4" s="2"/>
      <c r="B4" s="2"/>
      <c r="C4" s="2"/>
      <c r="D4" s="2"/>
      <c r="E4" s="2"/>
      <c r="F4" s="2"/>
      <c r="G4" s="2"/>
      <c r="H4" s="2"/>
      <c r="I4" s="2"/>
      <c r="J4" s="2"/>
      <c r="K4" s="2"/>
      <c r="L4" s="2"/>
    </row>
    <row r="6" spans="1:12" ht="20" customHeight="1">
      <c r="B6" s="11" t="s">
        <v>267</v>
      </c>
      <c r="C6" s="11"/>
      <c r="D6" s="11"/>
      <c r="E6" s="11"/>
      <c r="F6" s="11"/>
      <c r="G6" s="11"/>
      <c r="H6" s="11"/>
      <c r="I6" s="11"/>
      <c r="J6" s="11"/>
      <c r="K6" s="11"/>
      <c r="L6" s="11"/>
    </row>
    <row r="7" spans="1:12" ht="23" customHeight="1">
      <c r="B7" s="12" t="s">
        <v>268</v>
      </c>
      <c r="C7" s="12"/>
      <c r="D7" s="12"/>
      <c r="E7" s="12"/>
      <c r="F7" s="12"/>
      <c r="G7" s="12"/>
      <c r="H7" s="12"/>
      <c r="I7" s="12"/>
      <c r="J7" s="12"/>
      <c r="K7" s="12"/>
      <c r="L7" s="12"/>
    </row>
    <row r="8" spans="1:12" ht="23" customHeight="1">
      <c r="B8" s="12"/>
      <c r="C8" s="12"/>
      <c r="D8" s="12"/>
      <c r="E8" s="12"/>
      <c r="F8" s="12"/>
      <c r="G8" s="12"/>
      <c r="H8" s="12"/>
      <c r="I8" s="12"/>
      <c r="J8" s="12"/>
      <c r="K8" s="12"/>
      <c r="L8" s="12"/>
    </row>
    <row r="9" spans="1:12" ht="23" customHeight="1">
      <c r="B9" s="12"/>
      <c r="C9" s="12"/>
      <c r="D9" s="12"/>
      <c r="E9" s="12"/>
      <c r="F9" s="12"/>
      <c r="G9" s="12"/>
      <c r="H9" s="12"/>
      <c r="I9" s="12"/>
      <c r="J9" s="12"/>
      <c r="K9" s="12"/>
      <c r="L9" s="12"/>
    </row>
    <row r="10" spans="1:12" ht="23" customHeight="1">
      <c r="B10" s="12"/>
      <c r="C10" s="12"/>
      <c r="D10" s="12"/>
      <c r="E10" s="12"/>
      <c r="F10" s="12"/>
      <c r="G10" s="12"/>
      <c r="H10" s="12"/>
      <c r="I10" s="12"/>
      <c r="J10" s="12"/>
      <c r="K10" s="12"/>
      <c r="L10" s="12"/>
    </row>
    <row r="12" spans="1:12" ht="20" customHeight="1">
      <c r="B12" s="11" t="s">
        <v>269</v>
      </c>
      <c r="C12" s="11"/>
      <c r="D12" s="11"/>
      <c r="E12" s="11"/>
      <c r="F12" s="11"/>
      <c r="G12" s="11"/>
      <c r="H12" s="11"/>
      <c r="I12" s="11"/>
      <c r="J12" s="11"/>
      <c r="K12" s="11"/>
      <c r="L12" s="11"/>
    </row>
    <row r="13" spans="1:12" ht="23" customHeight="1">
      <c r="B13" s="12" t="s">
        <v>270</v>
      </c>
      <c r="C13" s="12"/>
      <c r="D13" s="12"/>
      <c r="E13" s="12"/>
      <c r="F13" s="12"/>
      <c r="G13" s="12"/>
      <c r="H13" s="12"/>
      <c r="I13" s="12"/>
      <c r="J13" s="12"/>
      <c r="K13" s="12"/>
      <c r="L13" s="12"/>
    </row>
    <row r="14" spans="1:12" ht="23" customHeight="1">
      <c r="B14" s="12"/>
      <c r="C14" s="12"/>
      <c r="D14" s="12"/>
      <c r="E14" s="12"/>
      <c r="F14" s="12"/>
      <c r="G14" s="12"/>
      <c r="H14" s="12"/>
      <c r="I14" s="12"/>
      <c r="J14" s="12"/>
      <c r="K14" s="12"/>
      <c r="L14" s="12"/>
    </row>
    <row r="15" spans="1:12" ht="23" customHeight="1">
      <c r="B15" s="12"/>
      <c r="C15" s="12"/>
      <c r="D15" s="12"/>
      <c r="E15" s="12"/>
      <c r="F15" s="12"/>
      <c r="G15" s="12"/>
      <c r="H15" s="12"/>
      <c r="I15" s="12"/>
      <c r="J15" s="12"/>
      <c r="K15" s="12"/>
      <c r="L15" s="12"/>
    </row>
    <row r="16" spans="1:12" ht="23" customHeight="1">
      <c r="B16" s="12"/>
      <c r="C16" s="12"/>
      <c r="D16" s="12"/>
      <c r="E16" s="12"/>
      <c r="F16" s="12"/>
      <c r="G16" s="12"/>
      <c r="H16" s="12"/>
      <c r="I16" s="12"/>
      <c r="J16" s="12"/>
      <c r="K16" s="12"/>
      <c r="L16" s="12"/>
    </row>
    <row r="18" spans="2:12" ht="20" customHeight="1">
      <c r="B18" s="11" t="s">
        <v>271</v>
      </c>
      <c r="C18" s="11"/>
      <c r="D18" s="11"/>
      <c r="E18" s="11"/>
      <c r="F18" s="11"/>
      <c r="G18" s="11"/>
      <c r="H18" s="11"/>
      <c r="I18" s="11"/>
      <c r="J18" s="11"/>
      <c r="K18" s="11"/>
      <c r="L18" s="11"/>
    </row>
    <row r="19" spans="2:12" ht="23" customHeight="1">
      <c r="B19" s="12" t="s">
        <v>272</v>
      </c>
      <c r="C19" s="12"/>
      <c r="D19" s="12"/>
      <c r="E19" s="12"/>
      <c r="F19" s="12"/>
      <c r="G19" s="12"/>
      <c r="H19" s="12"/>
      <c r="I19" s="12"/>
      <c r="J19" s="12"/>
      <c r="K19" s="12"/>
      <c r="L19" s="12"/>
    </row>
    <row r="20" spans="2:12" ht="23" customHeight="1">
      <c r="B20" s="12"/>
      <c r="C20" s="12"/>
      <c r="D20" s="12"/>
      <c r="E20" s="12"/>
      <c r="F20" s="12"/>
      <c r="G20" s="12"/>
      <c r="H20" s="12"/>
      <c r="I20" s="12"/>
      <c r="J20" s="12"/>
      <c r="K20" s="12"/>
      <c r="L20" s="12"/>
    </row>
    <row r="21" spans="2:12" ht="23" customHeight="1">
      <c r="B21" s="12"/>
      <c r="C21" s="12"/>
      <c r="D21" s="12"/>
      <c r="E21" s="12"/>
      <c r="F21" s="12"/>
      <c r="G21" s="12"/>
      <c r="H21" s="12"/>
      <c r="I21" s="12"/>
      <c r="J21" s="12"/>
      <c r="K21" s="12"/>
      <c r="L21" s="12"/>
    </row>
    <row r="22" spans="2:12" ht="23" customHeight="1">
      <c r="B22" s="12"/>
      <c r="C22" s="12"/>
      <c r="D22" s="12"/>
      <c r="E22" s="12"/>
      <c r="F22" s="12"/>
      <c r="G22" s="12"/>
      <c r="H22" s="12"/>
      <c r="I22" s="12"/>
      <c r="J22" s="12"/>
      <c r="K22" s="12"/>
      <c r="L22" s="12"/>
    </row>
    <row r="24" spans="2:12" ht="20" customHeight="1">
      <c r="B24" s="11" t="s">
        <v>273</v>
      </c>
      <c r="C24" s="11"/>
      <c r="D24" s="11"/>
      <c r="E24" s="11"/>
      <c r="F24" s="11"/>
      <c r="G24" s="11"/>
      <c r="H24" s="11"/>
      <c r="I24" s="11"/>
      <c r="J24" s="11"/>
      <c r="K24" s="11"/>
      <c r="L24" s="11"/>
    </row>
    <row r="25" spans="2:12" ht="23" customHeight="1">
      <c r="B25" s="12" t="s">
        <v>274</v>
      </c>
      <c r="C25" s="12"/>
      <c r="D25" s="12"/>
      <c r="E25" s="12"/>
      <c r="F25" s="12"/>
      <c r="G25" s="12"/>
      <c r="H25" s="12"/>
      <c r="I25" s="12"/>
      <c r="J25" s="12"/>
      <c r="K25" s="12"/>
      <c r="L25" s="12"/>
    </row>
    <row r="26" spans="2:12" ht="23" customHeight="1">
      <c r="B26" s="12"/>
      <c r="C26" s="12"/>
      <c r="D26" s="12"/>
      <c r="E26" s="12"/>
      <c r="F26" s="12"/>
      <c r="G26" s="12"/>
      <c r="H26" s="12"/>
      <c r="I26" s="12"/>
      <c r="J26" s="12"/>
      <c r="K26" s="12"/>
      <c r="L26" s="12"/>
    </row>
    <row r="27" spans="2:12" ht="23" customHeight="1">
      <c r="B27" s="12"/>
      <c r="C27" s="12"/>
      <c r="D27" s="12"/>
      <c r="E27" s="12"/>
      <c r="F27" s="12"/>
      <c r="G27" s="12"/>
      <c r="H27" s="12"/>
      <c r="I27" s="12"/>
      <c r="J27" s="12"/>
      <c r="K27" s="12"/>
      <c r="L27" s="12"/>
    </row>
    <row r="28" spans="2:12" ht="23" customHeight="1">
      <c r="B28" s="12"/>
      <c r="C28" s="12"/>
      <c r="D28" s="12"/>
      <c r="E28" s="12"/>
      <c r="F28" s="12"/>
      <c r="G28" s="12"/>
      <c r="H28" s="12"/>
      <c r="I28" s="12"/>
      <c r="J28" s="12"/>
      <c r="K28" s="12"/>
      <c r="L28" s="12"/>
    </row>
    <row r="30" spans="2:12" ht="20" customHeight="1">
      <c r="B30" s="11" t="s">
        <v>275</v>
      </c>
      <c r="C30" s="11"/>
      <c r="D30" s="11"/>
      <c r="E30" s="11"/>
      <c r="F30" s="11"/>
      <c r="G30" s="11"/>
      <c r="H30" s="11"/>
      <c r="I30" s="11"/>
      <c r="J30" s="11"/>
      <c r="K30" s="11"/>
      <c r="L30" s="11"/>
    </row>
    <row r="31" spans="2:12" ht="23" customHeight="1">
      <c r="B31" s="12" t="s">
        <v>276</v>
      </c>
      <c r="C31" s="12"/>
      <c r="D31" s="12"/>
      <c r="E31" s="12"/>
      <c r="F31" s="12"/>
      <c r="G31" s="12"/>
      <c r="H31" s="12"/>
      <c r="I31" s="12"/>
      <c r="J31" s="12"/>
      <c r="K31" s="12"/>
      <c r="L31" s="12"/>
    </row>
    <row r="32" spans="2:12" ht="23" customHeight="1">
      <c r="B32" s="12"/>
      <c r="C32" s="12"/>
      <c r="D32" s="12"/>
      <c r="E32" s="12"/>
      <c r="F32" s="12"/>
      <c r="G32" s="12"/>
      <c r="H32" s="12"/>
      <c r="I32" s="12"/>
      <c r="J32" s="12"/>
      <c r="K32" s="12"/>
      <c r="L32" s="12"/>
    </row>
    <row r="33" spans="2:12" ht="23" customHeight="1">
      <c r="B33" s="12"/>
      <c r="C33" s="12"/>
      <c r="D33" s="12"/>
      <c r="E33" s="12"/>
      <c r="F33" s="12"/>
      <c r="G33" s="12"/>
      <c r="H33" s="12"/>
      <c r="I33" s="12"/>
      <c r="J33" s="12"/>
      <c r="K33" s="12"/>
      <c r="L33" s="12"/>
    </row>
    <row r="34" spans="2:12" ht="23" customHeight="1">
      <c r="B34" s="12"/>
      <c r="C34" s="12"/>
      <c r="D34" s="12"/>
      <c r="E34" s="12"/>
      <c r="F34" s="12"/>
      <c r="G34" s="12"/>
      <c r="H34" s="12"/>
      <c r="I34" s="12"/>
      <c r="J34" s="12"/>
      <c r="K34" s="12"/>
      <c r="L34" s="12"/>
    </row>
    <row r="36" spans="2:12" ht="20" customHeight="1">
      <c r="B36" s="11" t="s">
        <v>277</v>
      </c>
      <c r="C36" s="11"/>
      <c r="D36" s="11"/>
      <c r="E36" s="11"/>
      <c r="F36" s="11"/>
      <c r="G36" s="11"/>
      <c r="H36" s="11"/>
      <c r="I36" s="11"/>
      <c r="J36" s="11"/>
      <c r="K36" s="11"/>
      <c r="L36" s="11"/>
    </row>
    <row r="37" spans="2:12" ht="23" customHeight="1">
      <c r="B37" s="12" t="s">
        <v>278</v>
      </c>
      <c r="C37" s="12"/>
      <c r="D37" s="12"/>
      <c r="E37" s="12"/>
      <c r="F37" s="12"/>
      <c r="G37" s="12"/>
      <c r="H37" s="12"/>
      <c r="I37" s="12"/>
      <c r="J37" s="12"/>
      <c r="K37" s="12"/>
      <c r="L37" s="12"/>
    </row>
    <row r="38" spans="2:12" ht="23" customHeight="1">
      <c r="B38" s="12"/>
      <c r="C38" s="12"/>
      <c r="D38" s="12"/>
      <c r="E38" s="12"/>
      <c r="F38" s="12"/>
      <c r="G38" s="12"/>
      <c r="H38" s="12"/>
      <c r="I38" s="12"/>
      <c r="J38" s="12"/>
      <c r="K38" s="12"/>
      <c r="L38" s="12"/>
    </row>
    <row r="39" spans="2:12" ht="23" customHeight="1">
      <c r="B39" s="12"/>
      <c r="C39" s="12"/>
      <c r="D39" s="12"/>
      <c r="E39" s="12"/>
      <c r="F39" s="12"/>
      <c r="G39" s="12"/>
      <c r="H39" s="12"/>
      <c r="I39" s="12"/>
      <c r="J39" s="12"/>
      <c r="K39" s="12"/>
      <c r="L39" s="12"/>
    </row>
    <row r="40" spans="2:12" ht="23" customHeight="1">
      <c r="B40" s="12"/>
      <c r="C40" s="12"/>
      <c r="D40" s="12"/>
      <c r="E40" s="12"/>
      <c r="F40" s="12"/>
      <c r="G40" s="12"/>
      <c r="H40" s="12"/>
      <c r="I40" s="12"/>
      <c r="J40" s="12"/>
      <c r="K40" s="12"/>
      <c r="L40" s="12"/>
    </row>
    <row r="42" spans="2:12" ht="20" customHeight="1">
      <c r="B42" s="11" t="s">
        <v>279</v>
      </c>
      <c r="C42" s="11"/>
      <c r="D42" s="11"/>
      <c r="E42" s="11"/>
      <c r="F42" s="11"/>
      <c r="G42" s="11"/>
      <c r="H42" s="11"/>
      <c r="I42" s="11"/>
      <c r="J42" s="11"/>
      <c r="K42" s="11"/>
      <c r="L42" s="11"/>
    </row>
    <row r="43" spans="2:12" ht="23" customHeight="1">
      <c r="B43" s="12" t="s">
        <v>280</v>
      </c>
      <c r="C43" s="12"/>
      <c r="D43" s="12"/>
      <c r="E43" s="12"/>
      <c r="F43" s="12"/>
      <c r="G43" s="12"/>
      <c r="H43" s="12"/>
      <c r="I43" s="12"/>
      <c r="J43" s="12"/>
      <c r="K43" s="12"/>
      <c r="L43" s="12"/>
    </row>
    <row r="44" spans="2:12" ht="23" customHeight="1">
      <c r="B44" s="12"/>
      <c r="C44" s="12"/>
      <c r="D44" s="12"/>
      <c r="E44" s="12"/>
      <c r="F44" s="12"/>
      <c r="G44" s="12"/>
      <c r="H44" s="12"/>
      <c r="I44" s="12"/>
      <c r="J44" s="12"/>
      <c r="K44" s="12"/>
      <c r="L44" s="12"/>
    </row>
    <row r="45" spans="2:12" ht="23" customHeight="1">
      <c r="B45" s="12"/>
      <c r="C45" s="12"/>
      <c r="D45" s="12"/>
      <c r="E45" s="12"/>
      <c r="F45" s="12"/>
      <c r="G45" s="12"/>
      <c r="H45" s="12"/>
      <c r="I45" s="12"/>
      <c r="J45" s="12"/>
      <c r="K45" s="12"/>
      <c r="L45" s="12"/>
    </row>
    <row r="46" spans="2:12" ht="23" customHeight="1">
      <c r="B46" s="12"/>
      <c r="C46" s="12"/>
      <c r="D46" s="12"/>
      <c r="E46" s="12"/>
      <c r="F46" s="12"/>
      <c r="G46" s="12"/>
      <c r="H46" s="12"/>
      <c r="I46" s="12"/>
      <c r="J46" s="12"/>
      <c r="K46" s="12"/>
      <c r="L46" s="12"/>
    </row>
    <row r="48" spans="2:12" ht="20" customHeight="1">
      <c r="B48" s="11" t="s">
        <v>281</v>
      </c>
      <c r="C48" s="11"/>
      <c r="D48" s="11"/>
      <c r="E48" s="11"/>
      <c r="F48" s="11"/>
      <c r="G48" s="11"/>
      <c r="H48" s="11"/>
      <c r="I48" s="11"/>
      <c r="J48" s="11"/>
      <c r="K48" s="11"/>
      <c r="L48" s="11"/>
    </row>
    <row r="49" spans="2:12" ht="23" customHeight="1">
      <c r="B49" s="12" t="s">
        <v>282</v>
      </c>
      <c r="C49" s="12"/>
      <c r="D49" s="12"/>
      <c r="E49" s="12"/>
      <c r="F49" s="12"/>
      <c r="G49" s="12"/>
      <c r="H49" s="12"/>
      <c r="I49" s="12"/>
      <c r="J49" s="12"/>
      <c r="K49" s="12"/>
      <c r="L49" s="12"/>
    </row>
    <row r="50" spans="2:12" ht="23" customHeight="1">
      <c r="B50" s="12"/>
      <c r="C50" s="12"/>
      <c r="D50" s="12"/>
      <c r="E50" s="12"/>
      <c r="F50" s="12"/>
      <c r="G50" s="12"/>
      <c r="H50" s="12"/>
      <c r="I50" s="12"/>
      <c r="J50" s="12"/>
      <c r="K50" s="12"/>
      <c r="L50" s="12"/>
    </row>
    <row r="51" spans="2:12" ht="23" customHeight="1">
      <c r="B51" s="12"/>
      <c r="C51" s="12"/>
      <c r="D51" s="12"/>
      <c r="E51" s="12"/>
      <c r="F51" s="12"/>
      <c r="G51" s="12"/>
      <c r="H51" s="12"/>
      <c r="I51" s="12"/>
      <c r="J51" s="12"/>
      <c r="K51" s="12"/>
      <c r="L51" s="12"/>
    </row>
    <row r="52" spans="2:12" ht="23" customHeight="1">
      <c r="B52" s="12"/>
      <c r="C52" s="12"/>
      <c r="D52" s="12"/>
      <c r="E52" s="12"/>
      <c r="F52" s="12"/>
      <c r="G52" s="12"/>
      <c r="H52" s="12"/>
      <c r="I52" s="12"/>
      <c r="J52" s="12"/>
      <c r="K52" s="12"/>
      <c r="L52" s="12"/>
    </row>
    <row r="54" spans="2:12" ht="20" customHeight="1">
      <c r="B54" s="11" t="s">
        <v>283</v>
      </c>
      <c r="C54" s="11"/>
      <c r="D54" s="11"/>
      <c r="E54" s="11"/>
      <c r="F54" s="11"/>
      <c r="G54" s="11"/>
      <c r="H54" s="11"/>
      <c r="I54" s="11"/>
      <c r="J54" s="11"/>
      <c r="K54" s="11"/>
      <c r="L54" s="11"/>
    </row>
    <row r="55" spans="2:12" ht="23" customHeight="1">
      <c r="B55" s="12" t="s">
        <v>284</v>
      </c>
      <c r="C55" s="12"/>
      <c r="D55" s="12"/>
      <c r="E55" s="12"/>
      <c r="F55" s="12"/>
      <c r="G55" s="12"/>
      <c r="H55" s="12"/>
      <c r="I55" s="12"/>
      <c r="J55" s="12"/>
      <c r="K55" s="12"/>
      <c r="L55" s="12"/>
    </row>
    <row r="56" spans="2:12" ht="23" customHeight="1">
      <c r="B56" s="12"/>
      <c r="C56" s="12"/>
      <c r="D56" s="12"/>
      <c r="E56" s="12"/>
      <c r="F56" s="12"/>
      <c r="G56" s="12"/>
      <c r="H56" s="12"/>
      <c r="I56" s="12"/>
      <c r="J56" s="12"/>
      <c r="K56" s="12"/>
      <c r="L56" s="12"/>
    </row>
    <row r="57" spans="2:12" ht="23" customHeight="1">
      <c r="B57" s="12"/>
      <c r="C57" s="12"/>
      <c r="D57" s="12"/>
      <c r="E57" s="12"/>
      <c r="F57" s="12"/>
      <c r="G57" s="12"/>
      <c r="H57" s="12"/>
      <c r="I57" s="12"/>
      <c r="J57" s="12"/>
      <c r="K57" s="12"/>
      <c r="L57" s="12"/>
    </row>
    <row r="58" spans="2:12" ht="23" customHeight="1">
      <c r="B58" s="12"/>
      <c r="C58" s="12"/>
      <c r="D58" s="12"/>
      <c r="E58" s="12"/>
      <c r="F58" s="12"/>
      <c r="G58" s="12"/>
      <c r="H58" s="12"/>
      <c r="I58" s="12"/>
      <c r="J58" s="12"/>
      <c r="K58" s="12"/>
      <c r="L58" s="12"/>
    </row>
    <row r="60" spans="2:12" ht="20" customHeight="1">
      <c r="B60" s="11" t="s">
        <v>285</v>
      </c>
      <c r="C60" s="11"/>
      <c r="D60" s="11"/>
      <c r="E60" s="11"/>
      <c r="F60" s="11"/>
      <c r="G60" s="11"/>
      <c r="H60" s="11"/>
      <c r="I60" s="11"/>
      <c r="J60" s="11"/>
      <c r="K60" s="11"/>
      <c r="L60" s="11"/>
    </row>
    <row r="61" spans="2:12" ht="23" customHeight="1">
      <c r="B61" s="12" t="s">
        <v>286</v>
      </c>
      <c r="C61" s="12"/>
      <c r="D61" s="12"/>
      <c r="E61" s="12"/>
      <c r="F61" s="12"/>
      <c r="G61" s="12"/>
      <c r="H61" s="12"/>
      <c r="I61" s="12"/>
      <c r="J61" s="12"/>
      <c r="K61" s="12"/>
      <c r="L61" s="12"/>
    </row>
    <row r="62" spans="2:12" ht="23" customHeight="1">
      <c r="B62" s="12"/>
      <c r="C62" s="12"/>
      <c r="D62" s="12"/>
      <c r="E62" s="12"/>
      <c r="F62" s="12"/>
      <c r="G62" s="12"/>
      <c r="H62" s="12"/>
      <c r="I62" s="12"/>
      <c r="J62" s="12"/>
      <c r="K62" s="12"/>
      <c r="L62" s="12"/>
    </row>
    <row r="63" spans="2:12" ht="23" customHeight="1">
      <c r="B63" s="12"/>
      <c r="C63" s="12"/>
      <c r="D63" s="12"/>
      <c r="E63" s="12"/>
      <c r="F63" s="12"/>
      <c r="G63" s="12"/>
      <c r="H63" s="12"/>
      <c r="I63" s="12"/>
      <c r="J63" s="12"/>
      <c r="K63" s="12"/>
      <c r="L63" s="12"/>
    </row>
    <row r="64" spans="2:12" ht="23" customHeight="1">
      <c r="B64" s="12"/>
      <c r="C64" s="12"/>
      <c r="D64" s="12"/>
      <c r="E64" s="12"/>
      <c r="F64" s="12"/>
      <c r="G64" s="12"/>
      <c r="H64" s="12"/>
      <c r="I64" s="12"/>
      <c r="J64" s="12"/>
      <c r="K64" s="12"/>
      <c r="L64" s="12"/>
    </row>
    <row r="66" spans="2:12" ht="20" customHeight="1">
      <c r="B66" s="11" t="s">
        <v>287</v>
      </c>
      <c r="C66" s="11"/>
      <c r="D66" s="11"/>
      <c r="E66" s="11"/>
      <c r="F66" s="11"/>
      <c r="G66" s="11"/>
      <c r="H66" s="11"/>
      <c r="I66" s="11"/>
      <c r="J66" s="11"/>
      <c r="K66" s="11"/>
      <c r="L66" s="11"/>
    </row>
    <row r="67" spans="2:12" ht="20" customHeight="1">
      <c r="B67" s="13" t="s">
        <v>113</v>
      </c>
      <c r="C67" s="13"/>
      <c r="D67" s="13"/>
      <c r="E67" s="13"/>
      <c r="F67" s="13" t="s">
        <v>10</v>
      </c>
      <c r="H67" s="13" t="s">
        <v>113</v>
      </c>
      <c r="I67" s="13"/>
      <c r="J67" s="13"/>
      <c r="K67" s="13"/>
      <c r="L67" s="13" t="s">
        <v>12</v>
      </c>
    </row>
    <row r="68" spans="2:12" ht="20" customHeight="1">
      <c r="B68" s="3" t="s">
        <v>124</v>
      </c>
      <c r="C68" s="3"/>
      <c r="D68" s="3"/>
      <c r="E68" s="3"/>
      <c r="F68" s="14">
        <v>160000</v>
      </c>
      <c r="H68" s="3" t="s">
        <v>124</v>
      </c>
      <c r="I68" s="3"/>
      <c r="J68" s="3"/>
      <c r="K68" s="3"/>
      <c r="L68" s="14">
        <v>24000</v>
      </c>
    </row>
    <row r="69" spans="2:12" ht="20" customHeight="1">
      <c r="B69" s="3" t="s">
        <v>117</v>
      </c>
      <c r="C69" s="3"/>
      <c r="D69" s="3"/>
      <c r="E69" s="3"/>
      <c r="F69" s="14">
        <v>117200</v>
      </c>
      <c r="H69" s="3" t="s">
        <v>117</v>
      </c>
      <c r="I69" s="3"/>
      <c r="J69" s="3"/>
      <c r="K69" s="3"/>
      <c r="L69" s="14">
        <v>18200</v>
      </c>
    </row>
    <row r="70" spans="2:12" ht="20" customHeight="1">
      <c r="B70" s="3" t="s">
        <v>143</v>
      </c>
      <c r="C70" s="3"/>
      <c r="D70" s="3"/>
      <c r="E70" s="3"/>
      <c r="F70" s="14">
        <v>65000</v>
      </c>
      <c r="H70" s="3" t="s">
        <v>121</v>
      </c>
      <c r="I70" s="3"/>
      <c r="J70" s="3"/>
      <c r="K70" s="3"/>
      <c r="L70" s="14">
        <v>11500</v>
      </c>
    </row>
    <row r="71" spans="2:12" ht="20" customHeight="1">
      <c r="B71" s="3" t="s">
        <v>154</v>
      </c>
      <c r="C71" s="3"/>
      <c r="D71" s="3"/>
      <c r="E71" s="3"/>
      <c r="F71" s="14">
        <v>63000</v>
      </c>
      <c r="H71" s="3" t="s">
        <v>154</v>
      </c>
      <c r="I71" s="3"/>
      <c r="J71" s="3"/>
      <c r="K71" s="3"/>
      <c r="L71" s="14">
        <v>9000</v>
      </c>
    </row>
    <row r="72" spans="2:12" ht="20" customHeight="1">
      <c r="B72" s="3" t="s">
        <v>129</v>
      </c>
      <c r="C72" s="3"/>
      <c r="D72" s="3"/>
      <c r="E72" s="3"/>
      <c r="F72" s="14">
        <v>60000</v>
      </c>
      <c r="H72" s="3" t="s">
        <v>135</v>
      </c>
      <c r="I72" s="3"/>
      <c r="J72" s="3"/>
      <c r="K72" s="3"/>
      <c r="L72" s="14">
        <v>9000</v>
      </c>
    </row>
  </sheetData>
  <mergeCells count="35">
    <mergeCell ref="A1:L2"/>
    <mergeCell ref="A3:L4"/>
    <mergeCell ref="B6:L6"/>
    <mergeCell ref="B7:L10"/>
    <mergeCell ref="B12:L12"/>
    <mergeCell ref="B13:L16"/>
    <mergeCell ref="B18:L18"/>
    <mergeCell ref="B19:L22"/>
    <mergeCell ref="B24:L24"/>
    <mergeCell ref="B25:L28"/>
    <mergeCell ref="B30:L30"/>
    <mergeCell ref="B31:L34"/>
    <mergeCell ref="B36:L36"/>
    <mergeCell ref="B37:L40"/>
    <mergeCell ref="B42:L42"/>
    <mergeCell ref="B43:L46"/>
    <mergeCell ref="B48:L48"/>
    <mergeCell ref="B49:L52"/>
    <mergeCell ref="B54:L54"/>
    <mergeCell ref="B55:L58"/>
    <mergeCell ref="B60:L60"/>
    <mergeCell ref="B61:L64"/>
    <mergeCell ref="B66:L66"/>
    <mergeCell ref="B67:E67"/>
    <mergeCell ref="B68:E68"/>
    <mergeCell ref="B69:E69"/>
    <mergeCell ref="B70:E70"/>
    <mergeCell ref="B71:E71"/>
    <mergeCell ref="B72:E72"/>
    <mergeCell ref="H67:K67"/>
    <mergeCell ref="H68:K68"/>
    <mergeCell ref="H69:K69"/>
    <mergeCell ref="H70:K70"/>
    <mergeCell ref="H71:K71"/>
    <mergeCell ref="H72:K72"/>
  </mergeCells>
  <pageMargins left="0.7" right="0.7" top="0.75" bottom="0.75" header="0.3" footer="0.3"/>
  <pageSetup paperSize="9" fitToHeight="0" orientation="landscape"/>
  <headerFooter>
    <oddFooter>&amp;LSales analysis | Source: supplied workbook&amp;RPage &amp;P of &amp;N</oddFooter>
  </headerFooter>
</worksheet>
</file>

<file path=xl/worksheets/sheet3.xml><?xml version="1.0" encoding="utf-8"?>
<worksheet xmlns="http://schemas.openxmlformats.org/spreadsheetml/2006/main" xmlns:r="http://schemas.openxmlformats.org/officeDocument/2006/relationships">
  <sheetPr>
    <tabColor rgb="FF00A99D"/>
    <pageSetUpPr fitToPage="1"/>
  </sheetPr>
  <dimension ref="A1:H108"/>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20" customHeight="1"/>
  <cols>
    <col min="1" max="1" width="35.7109375" customWidth="1"/>
    <col min="2" max="8" width="18.7109375" customWidth="1"/>
  </cols>
  <sheetData>
    <row r="1" spans="1:8" ht="28" customHeight="1">
      <c r="A1" s="1" t="s">
        <v>255</v>
      </c>
      <c r="B1" s="1"/>
      <c r="C1" s="1"/>
      <c r="D1" s="1"/>
      <c r="E1" s="1"/>
      <c r="F1" s="1"/>
      <c r="G1" s="1"/>
      <c r="H1" s="1"/>
    </row>
    <row r="2" spans="1:8" ht="20" customHeight="1">
      <c r="A2" s="1"/>
      <c r="B2" s="1"/>
      <c r="C2" s="1"/>
      <c r="D2" s="1"/>
      <c r="E2" s="1"/>
      <c r="F2" s="1"/>
      <c r="G2" s="1"/>
      <c r="H2" s="1"/>
    </row>
    <row r="3" spans="1:8" ht="20" customHeight="1">
      <c r="A3" s="2" t="s">
        <v>256</v>
      </c>
      <c r="B3" s="2"/>
      <c r="C3" s="2"/>
      <c r="D3" s="2"/>
      <c r="E3" s="2"/>
      <c r="F3" s="2"/>
      <c r="G3" s="2"/>
      <c r="H3" s="2"/>
    </row>
    <row r="4" spans="1:8" ht="20" customHeight="1">
      <c r="A4" s="2"/>
      <c r="B4" s="2"/>
      <c r="C4" s="2"/>
      <c r="D4" s="2"/>
      <c r="E4" s="2"/>
      <c r="F4" s="2"/>
      <c r="G4" s="2"/>
      <c r="H4" s="2"/>
    </row>
    <row r="7" spans="1:8" ht="20" customHeight="1">
      <c r="A7" s="11" t="s">
        <v>257</v>
      </c>
      <c r="B7" s="11"/>
      <c r="C7" s="11"/>
      <c r="D7" s="11"/>
      <c r="E7" s="11"/>
      <c r="F7" s="11"/>
      <c r="G7" s="11"/>
      <c r="H7" s="11"/>
    </row>
    <row r="8" spans="1:8" ht="20" customHeight="1">
      <c r="A8" s="13" t="s">
        <v>5</v>
      </c>
      <c r="B8" s="13" t="s">
        <v>10</v>
      </c>
      <c r="C8" s="13" t="s">
        <v>8</v>
      </c>
      <c r="D8" s="13" t="s">
        <v>12</v>
      </c>
      <c r="E8" s="13" t="s">
        <v>222</v>
      </c>
    </row>
    <row r="9" spans="1:8" ht="20" customHeight="1">
      <c r="A9" s="3" t="s">
        <v>37</v>
      </c>
      <c r="B9" s="14">
        <v>267000</v>
      </c>
      <c r="C9" s="14">
        <v>13</v>
      </c>
      <c r="D9" s="14">
        <v>40000</v>
      </c>
      <c r="E9" s="15">
        <f>IFERROR(D9/B9,0)</f>
        <v>0.149812734082397</v>
      </c>
    </row>
    <row r="10" spans="1:8" ht="20" customHeight="1">
      <c r="A10" s="3" t="s">
        <v>16</v>
      </c>
      <c r="B10" s="14">
        <v>235000</v>
      </c>
      <c r="C10" s="14">
        <v>4</v>
      </c>
      <c r="D10" s="14">
        <v>30000</v>
      </c>
      <c r="E10" s="15">
        <f>IFERROR(D10/B10,0)</f>
        <v>0.1276595744680851</v>
      </c>
    </row>
    <row r="11" spans="1:8" ht="20" customHeight="1">
      <c r="A11" s="3" t="s">
        <v>42</v>
      </c>
      <c r="B11" s="14">
        <v>122000</v>
      </c>
      <c r="C11" s="14">
        <v>3</v>
      </c>
      <c r="D11" s="14">
        <v>21000</v>
      </c>
      <c r="E11" s="15">
        <f>IFERROR(D11/B11,0)</f>
        <v>0.1721311475409836</v>
      </c>
    </row>
    <row r="12" spans="1:8" ht="20" customHeight="1">
      <c r="A12" s="3" t="s">
        <v>65</v>
      </c>
      <c r="B12" s="14">
        <v>92000</v>
      </c>
      <c r="C12" s="14">
        <v>5</v>
      </c>
      <c r="D12" s="14">
        <v>15000</v>
      </c>
      <c r="E12" s="15">
        <f>IFERROR(D12/B12,0)</f>
        <v>0.16304347826086957</v>
      </c>
    </row>
    <row r="13" spans="1:8" ht="20" customHeight="1">
      <c r="A13" s="3" t="s">
        <v>56</v>
      </c>
      <c r="B13" s="14">
        <v>72000</v>
      </c>
      <c r="C13" s="14">
        <v>5</v>
      </c>
      <c r="D13" s="14">
        <v>12000</v>
      </c>
      <c r="E13" s="15">
        <f>IFERROR(D13/B13,0)</f>
        <v>0.16666666666666666</v>
      </c>
    </row>
    <row r="14" spans="1:8" ht="20" customHeight="1">
      <c r="A14" s="3" t="s">
        <v>26</v>
      </c>
      <c r="B14" s="14">
        <v>68000</v>
      </c>
      <c r="C14" s="14">
        <v>17</v>
      </c>
      <c r="D14" s="14">
        <v>19000</v>
      </c>
      <c r="E14" s="15">
        <f>IFERROR(D14/B14,0)</f>
        <v>0.27941176470588236</v>
      </c>
    </row>
    <row r="15" spans="1:8" ht="20" customHeight="1">
      <c r="A15" s="3" t="s">
        <v>32</v>
      </c>
      <c r="B15" s="14">
        <v>46000</v>
      </c>
      <c r="C15" s="14">
        <v>6</v>
      </c>
      <c r="D15" s="14">
        <v>7000</v>
      </c>
      <c r="E15" s="15">
        <f>IFERROR(D15/B15,0)</f>
        <v>0.15217391304347827</v>
      </c>
    </row>
    <row r="16" spans="1:8" ht="20" customHeight="1">
      <c r="A16" s="3" t="s">
        <v>57</v>
      </c>
      <c r="B16" s="14">
        <v>34000</v>
      </c>
      <c r="C16" s="14">
        <v>3</v>
      </c>
      <c r="D16" s="14">
        <v>8000</v>
      </c>
      <c r="E16" s="15">
        <f>IFERROR(D16/B16,0)</f>
        <v>0.23529411764705882</v>
      </c>
    </row>
    <row r="17" spans="1:8" ht="20" customHeight="1">
      <c r="A17" s="3" t="s">
        <v>61</v>
      </c>
      <c r="B17" s="14">
        <v>28000</v>
      </c>
      <c r="C17" s="14">
        <v>4</v>
      </c>
      <c r="D17" s="14">
        <v>9000</v>
      </c>
      <c r="E17" s="15">
        <f>IFERROR(D17/B17,0)</f>
        <v>0.32142857142857145</v>
      </c>
    </row>
    <row r="18" spans="1:8" ht="20" customHeight="1">
      <c r="A18" s="3" t="s">
        <v>53</v>
      </c>
      <c r="B18" s="14">
        <v>26500</v>
      </c>
      <c r="C18" s="14">
        <v>3</v>
      </c>
      <c r="D18" s="14">
        <v>7500</v>
      </c>
      <c r="E18" s="15">
        <f>IFERROR(D18/B18,0)</f>
        <v>0.2830188679245283</v>
      </c>
    </row>
    <row r="19" spans="1:8" ht="20" customHeight="1">
      <c r="A19" s="3" t="s">
        <v>46</v>
      </c>
      <c r="B19" s="14">
        <v>22500</v>
      </c>
      <c r="C19" s="14">
        <v>8</v>
      </c>
      <c r="D19" s="14">
        <v>8000</v>
      </c>
      <c r="E19" s="15">
        <f>IFERROR(D19/B19,0)</f>
        <v>0.35555555555555557</v>
      </c>
    </row>
    <row r="20" spans="1:8" ht="20" customHeight="1">
      <c r="A20" s="3" t="s">
        <v>38</v>
      </c>
      <c r="B20" s="14">
        <v>13200</v>
      </c>
      <c r="C20" s="14">
        <v>10</v>
      </c>
      <c r="D20" s="14">
        <v>5700</v>
      </c>
      <c r="E20" s="15">
        <f>IFERROR(D20/B20,0)</f>
        <v>0.4318181818181818</v>
      </c>
    </row>
    <row r="21" spans="1:8" ht="20" customHeight="1">
      <c r="A21" s="3" t="s">
        <v>22</v>
      </c>
      <c r="B21" s="14">
        <v>11000</v>
      </c>
      <c r="C21" s="14">
        <v>15</v>
      </c>
      <c r="D21" s="14">
        <v>4500</v>
      </c>
      <c r="E21" s="15">
        <f>IFERROR(D21/B21,0)</f>
        <v>0.4090909090909091</v>
      </c>
    </row>
    <row r="22" spans="1:8" ht="20" customHeight="1">
      <c r="A22" s="13" t="s">
        <v>258</v>
      </c>
      <c r="B22" s="14">
        <v>1037200</v>
      </c>
      <c r="C22" s="14">
        <v>96</v>
      </c>
      <c r="D22" s="14">
        <v>186700</v>
      </c>
      <c r="E22" s="15">
        <f>IFERROR(D22/B22,0)</f>
        <v>0.18000385653682993</v>
      </c>
    </row>
    <row r="26" spans="1:8" ht="20" customHeight="1">
      <c r="A26" s="11" t="s">
        <v>259</v>
      </c>
      <c r="B26" s="11"/>
      <c r="C26" s="11"/>
      <c r="D26" s="11"/>
      <c r="E26" s="11"/>
      <c r="F26" s="11"/>
      <c r="G26" s="11"/>
      <c r="H26" s="11"/>
    </row>
    <row r="27" spans="1:8" ht="20" customHeight="1">
      <c r="A27" s="13" t="s">
        <v>6</v>
      </c>
      <c r="B27" s="13" t="s">
        <v>10</v>
      </c>
      <c r="C27" s="13" t="s">
        <v>11</v>
      </c>
      <c r="D27" s="13" t="s">
        <v>12</v>
      </c>
      <c r="E27" s="13" t="s">
        <v>8</v>
      </c>
      <c r="F27" s="13" t="s">
        <v>222</v>
      </c>
    </row>
    <row r="28" spans="1:8" ht="20" customHeight="1">
      <c r="A28" s="3" t="s">
        <v>17</v>
      </c>
      <c r="B28" s="14">
        <v>746700</v>
      </c>
      <c r="C28" s="14">
        <v>623500</v>
      </c>
      <c r="D28" s="14">
        <v>123200</v>
      </c>
      <c r="E28" s="14">
        <v>63</v>
      </c>
      <c r="F28" s="15">
        <f>IFERROR(D28/B28,0)</f>
        <v>0.1649926342573992</v>
      </c>
    </row>
    <row r="29" spans="1:8" ht="20" customHeight="1">
      <c r="A29" s="3" t="s">
        <v>27</v>
      </c>
      <c r="B29" s="14">
        <v>290500</v>
      </c>
      <c r="C29" s="14">
        <v>227000</v>
      </c>
      <c r="D29" s="14">
        <v>63500</v>
      </c>
      <c r="E29" s="14">
        <v>33</v>
      </c>
      <c r="F29" s="15">
        <f>IFERROR(D29/B29,0)</f>
        <v>0.21858864027538727</v>
      </c>
    </row>
    <row r="30" spans="1:8" ht="20" customHeight="1">
      <c r="A30" s="13" t="s">
        <v>258</v>
      </c>
      <c r="B30" s="14">
        <v>1037200</v>
      </c>
      <c r="C30" s="14">
        <v>850500</v>
      </c>
      <c r="D30" s="14">
        <v>186700</v>
      </c>
      <c r="E30" s="14">
        <v>96</v>
      </c>
      <c r="F30" s="15">
        <f>IFERROR(D30/B30,0)</f>
        <v>0.18000385653682993</v>
      </c>
    </row>
    <row r="34" spans="1:8" ht="20" customHeight="1">
      <c r="A34" s="11" t="s">
        <v>260</v>
      </c>
      <c r="B34" s="11"/>
      <c r="C34" s="11"/>
      <c r="D34" s="11"/>
      <c r="E34" s="11"/>
      <c r="F34" s="11"/>
      <c r="G34" s="11"/>
      <c r="H34" s="11"/>
    </row>
    <row r="35" spans="1:8" ht="20" customHeight="1">
      <c r="A35" s="13" t="s">
        <v>7</v>
      </c>
      <c r="B35" s="13" t="s">
        <v>10</v>
      </c>
      <c r="C35" s="13" t="s">
        <v>12</v>
      </c>
      <c r="D35" s="13" t="s">
        <v>8</v>
      </c>
      <c r="E35" s="13" t="s">
        <v>261</v>
      </c>
      <c r="F35" s="13" t="s">
        <v>222</v>
      </c>
    </row>
    <row r="36" spans="1:8" ht="20" customHeight="1">
      <c r="A36" s="3" t="s">
        <v>18</v>
      </c>
      <c r="B36" s="14">
        <v>522500</v>
      </c>
      <c r="C36" s="14">
        <v>76500</v>
      </c>
      <c r="D36" s="14">
        <v>19</v>
      </c>
      <c r="E36" s="14">
        <v>9</v>
      </c>
      <c r="F36" s="15">
        <f>IFERROR(C36/B36,0)</f>
        <v>0.14641148325358852</v>
      </c>
    </row>
    <row r="37" spans="1:8" ht="20" customHeight="1">
      <c r="A37" s="3" t="s">
        <v>28</v>
      </c>
      <c r="B37" s="14">
        <v>190000</v>
      </c>
      <c r="C37" s="14">
        <v>43000</v>
      </c>
      <c r="D37" s="14">
        <v>28</v>
      </c>
      <c r="E37" s="14">
        <v>8</v>
      </c>
      <c r="F37" s="15">
        <f>IFERROR(C37/B37,0)</f>
        <v>0.22631578947368422</v>
      </c>
    </row>
    <row r="38" spans="1:8" ht="20" customHeight="1">
      <c r="A38" s="3" t="s">
        <v>33</v>
      </c>
      <c r="B38" s="14">
        <v>176500</v>
      </c>
      <c r="C38" s="14">
        <v>32000</v>
      </c>
      <c r="D38" s="14">
        <v>15</v>
      </c>
      <c r="E38" s="14">
        <v>8</v>
      </c>
      <c r="F38" s="15">
        <f>IFERROR(C38/B38,0)</f>
        <v>0.1813031161473088</v>
      </c>
    </row>
    <row r="39" spans="1:8" ht="20" customHeight="1">
      <c r="A39" s="3" t="s">
        <v>23</v>
      </c>
      <c r="B39" s="14">
        <v>148200</v>
      </c>
      <c r="C39" s="14">
        <v>35200</v>
      </c>
      <c r="D39" s="14">
        <v>34</v>
      </c>
      <c r="E39" s="14">
        <v>8</v>
      </c>
      <c r="F39" s="15">
        <f>IFERROR(C39/B39,0)</f>
        <v>0.23751686909581646</v>
      </c>
    </row>
    <row r="40" spans="1:8" ht="20" customHeight="1">
      <c r="A40" s="13" t="s">
        <v>258</v>
      </c>
      <c r="B40" s="14">
        <v>1037200</v>
      </c>
      <c r="C40" s="14">
        <v>186700</v>
      </c>
      <c r="D40" s="14">
        <v>96</v>
      </c>
      <c r="E40" s="14">
        <v>33</v>
      </c>
      <c r="F40" s="15">
        <f>IFERROR(C40/B40,0)</f>
        <v>0.18000385653682993</v>
      </c>
    </row>
    <row r="44" spans="1:8" ht="20" customHeight="1">
      <c r="A44" s="11" t="s">
        <v>262</v>
      </c>
      <c r="B44" s="11"/>
      <c r="C44" s="11"/>
      <c r="D44" s="11"/>
      <c r="E44" s="11"/>
      <c r="F44" s="11"/>
      <c r="G44" s="11"/>
      <c r="H44" s="11"/>
    </row>
    <row r="45" spans="1:8" ht="20" customHeight="1">
      <c r="A45" s="13" t="s">
        <v>112</v>
      </c>
      <c r="B45" s="13" t="s">
        <v>10</v>
      </c>
      <c r="C45" s="13" t="s">
        <v>12</v>
      </c>
      <c r="D45" s="13" t="s">
        <v>261</v>
      </c>
      <c r="E45" s="13" t="s">
        <v>222</v>
      </c>
    </row>
    <row r="46" spans="1:8" ht="20" customHeight="1">
      <c r="A46" s="3" t="s">
        <v>156</v>
      </c>
      <c r="B46" s="14">
        <v>80000</v>
      </c>
      <c r="C46" s="14">
        <v>12000</v>
      </c>
      <c r="D46" s="14">
        <v>1</v>
      </c>
      <c r="E46" s="15">
        <f>IFERROR(C46/B46,0)</f>
        <v>0.15</v>
      </c>
    </row>
    <row r="47" spans="1:8" ht="20" customHeight="1">
      <c r="A47" s="3" t="s">
        <v>139</v>
      </c>
      <c r="B47" s="14">
        <v>42000</v>
      </c>
      <c r="C47" s="14">
        <v>7000</v>
      </c>
      <c r="D47" s="14">
        <v>1</v>
      </c>
      <c r="E47" s="15">
        <f>IFERROR(C47/B47,0)</f>
        <v>0.16666666666666666</v>
      </c>
    </row>
    <row r="48" spans="1:8" ht="20" customHeight="1">
      <c r="A48" s="3" t="s">
        <v>144</v>
      </c>
      <c r="B48" s="14">
        <v>7000</v>
      </c>
      <c r="C48" s="14">
        <v>3000</v>
      </c>
      <c r="D48" s="14">
        <v>1</v>
      </c>
      <c r="E48" s="15">
        <f>IFERROR(C48/B48,0)</f>
        <v>0.42857142857142855</v>
      </c>
    </row>
    <row r="49" spans="1:8" ht="20" customHeight="1">
      <c r="A49" s="3" t="s">
        <v>153</v>
      </c>
      <c r="B49" s="14">
        <v>63000</v>
      </c>
      <c r="C49" s="14">
        <v>9000</v>
      </c>
      <c r="D49" s="14">
        <v>1</v>
      </c>
      <c r="E49" s="15">
        <f>IFERROR(C49/B49,0)</f>
        <v>0.14285714285714285</v>
      </c>
    </row>
    <row r="50" spans="1:8" ht="20" customHeight="1">
      <c r="A50" s="3" t="s">
        <v>116</v>
      </c>
      <c r="B50" s="14">
        <v>291500</v>
      </c>
      <c r="C50" s="14">
        <v>50500</v>
      </c>
      <c r="D50" s="14">
        <v>9</v>
      </c>
      <c r="E50" s="15">
        <f>IFERROR(C50/B50,0)</f>
        <v>0.1732418524871355</v>
      </c>
    </row>
    <row r="51" spans="1:8" ht="20" customHeight="1">
      <c r="A51" s="3" t="s">
        <v>130</v>
      </c>
      <c r="B51" s="14">
        <v>146000</v>
      </c>
      <c r="C51" s="14">
        <v>31000</v>
      </c>
      <c r="D51" s="14">
        <v>6</v>
      </c>
      <c r="E51" s="15">
        <f>IFERROR(C51/B51,0)</f>
        <v>0.21232876712328766</v>
      </c>
    </row>
    <row r="52" spans="1:8" ht="20" customHeight="1">
      <c r="A52" s="3" t="s">
        <v>137</v>
      </c>
      <c r="B52" s="14">
        <v>175000</v>
      </c>
      <c r="C52" s="14">
        <v>27500</v>
      </c>
      <c r="D52" s="14">
        <v>5</v>
      </c>
      <c r="E52" s="15">
        <f>IFERROR(C52/B52,0)</f>
        <v>0.15714285714285714</v>
      </c>
    </row>
    <row r="53" spans="1:8" ht="20" customHeight="1">
      <c r="A53" s="3" t="s">
        <v>146</v>
      </c>
      <c r="B53" s="14">
        <v>165500</v>
      </c>
      <c r="C53" s="14">
        <v>35500</v>
      </c>
      <c r="D53" s="14">
        <v>7</v>
      </c>
      <c r="E53" s="15">
        <f>IFERROR(C53/B53,0)</f>
        <v>0.21450151057401812</v>
      </c>
    </row>
    <row r="54" spans="1:8" ht="20" customHeight="1">
      <c r="A54" s="3" t="s">
        <v>125</v>
      </c>
      <c r="B54" s="14">
        <v>7200</v>
      </c>
      <c r="C54" s="14">
        <v>3200</v>
      </c>
      <c r="D54" s="14">
        <v>1</v>
      </c>
      <c r="E54" s="15">
        <f>IFERROR(C54/B54,0)</f>
        <v>0.4444444444444444</v>
      </c>
    </row>
    <row r="55" spans="1:8" ht="20" customHeight="1">
      <c r="A55" s="3" t="s">
        <v>128</v>
      </c>
      <c r="B55" s="14">
        <v>60000</v>
      </c>
      <c r="C55" s="14">
        <v>8000</v>
      </c>
      <c r="D55" s="14">
        <v>1</v>
      </c>
      <c r="E55" s="15">
        <f>IFERROR(C55/B55,0)</f>
        <v>0.13333333333333333</v>
      </c>
    </row>
    <row r="56" spans="1:8" ht="20" customHeight="1">
      <c r="A56" s="13" t="s">
        <v>258</v>
      </c>
      <c r="B56" s="14">
        <v>1037200</v>
      </c>
      <c r="C56" s="14">
        <v>186700</v>
      </c>
      <c r="D56" s="14">
        <v>33</v>
      </c>
      <c r="E56" s="15">
        <f>IFERROR(C56/B56,0)</f>
        <v>0.18000385653682993</v>
      </c>
    </row>
    <row r="60" spans="1:8" ht="20" customHeight="1">
      <c r="A60" s="11" t="s">
        <v>263</v>
      </c>
      <c r="B60" s="11"/>
      <c r="C60" s="11"/>
      <c r="D60" s="11"/>
      <c r="E60" s="11"/>
      <c r="F60" s="11"/>
      <c r="G60" s="11"/>
      <c r="H60" s="11"/>
    </row>
    <row r="61" spans="1:8" ht="20" customHeight="1">
      <c r="A61" s="13" t="s">
        <v>113</v>
      </c>
      <c r="B61" s="13" t="s">
        <v>10</v>
      </c>
      <c r="C61" s="13" t="s">
        <v>12</v>
      </c>
      <c r="D61" s="13" t="s">
        <v>261</v>
      </c>
      <c r="E61" s="13" t="s">
        <v>222</v>
      </c>
    </row>
    <row r="62" spans="1:8" ht="20" customHeight="1">
      <c r="A62" s="3" t="s">
        <v>124</v>
      </c>
      <c r="B62" s="14">
        <v>160000</v>
      </c>
      <c r="C62" s="14">
        <v>24000</v>
      </c>
      <c r="D62" s="14">
        <v>2</v>
      </c>
      <c r="E62" s="15">
        <f>IFERROR(C62/B62,0)</f>
        <v>0.15</v>
      </c>
    </row>
    <row r="63" spans="1:8" ht="20" customHeight="1">
      <c r="A63" s="3" t="s">
        <v>117</v>
      </c>
      <c r="B63" s="14">
        <v>117200</v>
      </c>
      <c r="C63" s="14">
        <v>18200</v>
      </c>
      <c r="D63" s="14">
        <v>2</v>
      </c>
      <c r="E63" s="15">
        <f>IFERROR(C63/B63,0)</f>
        <v>0.1552901023890785</v>
      </c>
    </row>
    <row r="64" spans="1:8" ht="20" customHeight="1">
      <c r="A64" s="3" t="s">
        <v>143</v>
      </c>
      <c r="B64" s="14">
        <v>65000</v>
      </c>
      <c r="C64" s="14">
        <v>7000</v>
      </c>
      <c r="D64" s="14">
        <v>1</v>
      </c>
      <c r="E64" s="15">
        <f>IFERROR(C64/B64,0)</f>
        <v>0.1076923076923077</v>
      </c>
    </row>
    <row r="65" spans="1:5" ht="20" customHeight="1">
      <c r="A65" s="3" t="s">
        <v>154</v>
      </c>
      <c r="B65" s="14">
        <v>63000</v>
      </c>
      <c r="C65" s="14">
        <v>9000</v>
      </c>
      <c r="D65" s="14">
        <v>1</v>
      </c>
      <c r="E65" s="15">
        <f>IFERROR(C65/B65,0)</f>
        <v>0.14285714285714285</v>
      </c>
    </row>
    <row r="66" spans="1:5" ht="20" customHeight="1">
      <c r="A66" s="3" t="s">
        <v>129</v>
      </c>
      <c r="B66" s="14">
        <v>60000</v>
      </c>
      <c r="C66" s="14">
        <v>8000</v>
      </c>
      <c r="D66" s="14">
        <v>1</v>
      </c>
      <c r="E66" s="15">
        <f>IFERROR(C66/B66,0)</f>
        <v>0.13333333333333333</v>
      </c>
    </row>
    <row r="67" spans="1:5" ht="20" customHeight="1">
      <c r="A67" s="3" t="s">
        <v>135</v>
      </c>
      <c r="B67" s="14">
        <v>54000</v>
      </c>
      <c r="C67" s="14">
        <v>9000</v>
      </c>
      <c r="D67" s="14">
        <v>1</v>
      </c>
      <c r="E67" s="15">
        <f>IFERROR(C67/B67,0)</f>
        <v>0.16666666666666666</v>
      </c>
    </row>
    <row r="68" spans="1:5" ht="20" customHeight="1">
      <c r="A68" s="3" t="s">
        <v>152</v>
      </c>
      <c r="B68" s="14">
        <v>45000</v>
      </c>
      <c r="C68" s="14">
        <v>7000</v>
      </c>
      <c r="D68" s="14">
        <v>1</v>
      </c>
      <c r="E68" s="15">
        <f>IFERROR(C68/B68,0)</f>
        <v>0.15555555555555556</v>
      </c>
    </row>
    <row r="69" spans="1:5" ht="20" customHeight="1">
      <c r="A69" s="3" t="s">
        <v>138</v>
      </c>
      <c r="B69" s="14">
        <v>44000</v>
      </c>
      <c r="C69" s="14">
        <v>7000</v>
      </c>
      <c r="D69" s="14">
        <v>1</v>
      </c>
      <c r="E69" s="15">
        <f>IFERROR(C69/B69,0)</f>
        <v>0.1590909090909091</v>
      </c>
    </row>
    <row r="70" spans="1:5" ht="20" customHeight="1">
      <c r="A70" s="3" t="s">
        <v>140</v>
      </c>
      <c r="B70" s="14">
        <v>42000</v>
      </c>
      <c r="C70" s="14">
        <v>7000</v>
      </c>
      <c r="D70" s="14">
        <v>1</v>
      </c>
      <c r="E70" s="15">
        <f>IFERROR(C70/B70,0)</f>
        <v>0.16666666666666666</v>
      </c>
    </row>
    <row r="71" spans="1:5" ht="20" customHeight="1">
      <c r="A71" s="3" t="s">
        <v>141</v>
      </c>
      <c r="B71" s="14">
        <v>42000</v>
      </c>
      <c r="C71" s="14">
        <v>7000</v>
      </c>
      <c r="D71" s="14">
        <v>1</v>
      </c>
      <c r="E71" s="15">
        <f>IFERROR(C71/B71,0)</f>
        <v>0.16666666666666666</v>
      </c>
    </row>
    <row r="72" spans="1:5" ht="20" customHeight="1">
      <c r="A72" s="3" t="s">
        <v>150</v>
      </c>
      <c r="B72" s="14">
        <v>38000</v>
      </c>
      <c r="C72" s="14">
        <v>6000</v>
      </c>
      <c r="D72" s="14">
        <v>1</v>
      </c>
      <c r="E72" s="15">
        <f>IFERROR(C72/B72,0)</f>
        <v>0.15789473684210525</v>
      </c>
    </row>
    <row r="73" spans="1:5" ht="20" customHeight="1">
      <c r="A73" s="3" t="s">
        <v>126</v>
      </c>
      <c r="B73" s="14">
        <v>35000</v>
      </c>
      <c r="C73" s="14">
        <v>7000</v>
      </c>
      <c r="D73" s="14">
        <v>1</v>
      </c>
      <c r="E73" s="15">
        <f>IFERROR(C73/B73,0)</f>
        <v>0.2</v>
      </c>
    </row>
    <row r="74" spans="1:5" ht="20" customHeight="1">
      <c r="A74" s="3" t="s">
        <v>121</v>
      </c>
      <c r="B74" s="14">
        <v>33000</v>
      </c>
      <c r="C74" s="14">
        <v>11500</v>
      </c>
      <c r="D74" s="14">
        <v>3</v>
      </c>
      <c r="E74" s="15">
        <f>IFERROR(C74/B74,0)</f>
        <v>0.3484848484848485</v>
      </c>
    </row>
    <row r="75" spans="1:5" ht="20" customHeight="1">
      <c r="A75" s="3" t="s">
        <v>132</v>
      </c>
      <c r="B75" s="14">
        <v>30000</v>
      </c>
      <c r="C75" s="14">
        <v>5000</v>
      </c>
      <c r="D75" s="14">
        <v>1</v>
      </c>
      <c r="E75" s="15">
        <f>IFERROR(C75/B75,0)</f>
        <v>0.16666666666666666</v>
      </c>
    </row>
    <row r="76" spans="1:5" ht="20" customHeight="1">
      <c r="A76" s="3" t="s">
        <v>123</v>
      </c>
      <c r="B76" s="14">
        <v>28000</v>
      </c>
      <c r="C76" s="14">
        <v>3000</v>
      </c>
      <c r="D76" s="14">
        <v>2</v>
      </c>
      <c r="E76" s="15">
        <f>IFERROR(C76/B76,0)</f>
        <v>0.10714285714285714</v>
      </c>
    </row>
    <row r="77" spans="1:5" ht="20" customHeight="1">
      <c r="A77" s="3" t="s">
        <v>148</v>
      </c>
      <c r="B77" s="14">
        <v>22000</v>
      </c>
      <c r="C77" s="14">
        <v>5000</v>
      </c>
      <c r="D77" s="14">
        <v>1</v>
      </c>
      <c r="E77" s="15">
        <f>IFERROR(C77/B77,0)</f>
        <v>0.22727272727272727</v>
      </c>
    </row>
    <row r="78" spans="1:5" ht="20" customHeight="1">
      <c r="A78" s="3" t="s">
        <v>147</v>
      </c>
      <c r="B78" s="14">
        <v>21000</v>
      </c>
      <c r="C78" s="14">
        <v>5000</v>
      </c>
      <c r="D78" s="14">
        <v>1</v>
      </c>
      <c r="E78" s="15">
        <f>IFERROR(C78/B78,0)</f>
        <v>0.23809523809523808</v>
      </c>
    </row>
    <row r="79" spans="1:5" ht="20" customHeight="1">
      <c r="A79" s="3" t="s">
        <v>136</v>
      </c>
      <c r="B79" s="14">
        <v>20000</v>
      </c>
      <c r="C79" s="14">
        <v>5000</v>
      </c>
      <c r="D79" s="14">
        <v>1</v>
      </c>
      <c r="E79" s="15">
        <f>IFERROR(C79/B79,0)</f>
        <v>0.25</v>
      </c>
    </row>
    <row r="80" spans="1:5" ht="20" customHeight="1">
      <c r="A80" s="3" t="s">
        <v>142</v>
      </c>
      <c r="B80" s="14">
        <v>18000</v>
      </c>
      <c r="C80" s="14">
        <v>4000</v>
      </c>
      <c r="D80" s="14">
        <v>1</v>
      </c>
      <c r="E80" s="15">
        <f>IFERROR(C80/B80,0)</f>
        <v>0.2222222222222222</v>
      </c>
    </row>
    <row r="81" spans="1:8" ht="20" customHeight="1">
      <c r="A81" s="3" t="s">
        <v>131</v>
      </c>
      <c r="B81" s="14">
        <v>17000</v>
      </c>
      <c r="C81" s="14">
        <v>5000</v>
      </c>
      <c r="D81" s="14">
        <v>1</v>
      </c>
      <c r="E81" s="15">
        <f>IFERROR(C81/B81,0)</f>
        <v>0.29411764705882354</v>
      </c>
    </row>
    <row r="82" spans="1:8" ht="20" customHeight="1">
      <c r="A82" s="3" t="s">
        <v>119</v>
      </c>
      <c r="B82" s="14">
        <v>16000</v>
      </c>
      <c r="C82" s="14">
        <v>4500</v>
      </c>
      <c r="D82" s="14">
        <v>2</v>
      </c>
      <c r="E82" s="15">
        <f>IFERROR(C82/B82,0)</f>
        <v>0.28125</v>
      </c>
    </row>
    <row r="83" spans="1:8" ht="20" customHeight="1">
      <c r="A83" s="3" t="s">
        <v>155</v>
      </c>
      <c r="B83" s="14">
        <v>15000</v>
      </c>
      <c r="C83" s="14">
        <v>5000</v>
      </c>
      <c r="D83" s="14">
        <v>1</v>
      </c>
      <c r="E83" s="15">
        <f>IFERROR(C83/B83,0)</f>
        <v>0.3333333333333333</v>
      </c>
    </row>
    <row r="84" spans="1:8" ht="20" customHeight="1">
      <c r="A84" s="3" t="s">
        <v>151</v>
      </c>
      <c r="B84" s="14">
        <v>15000</v>
      </c>
      <c r="C84" s="14">
        <v>5000</v>
      </c>
      <c r="D84" s="14">
        <v>1</v>
      </c>
      <c r="E84" s="15">
        <f>IFERROR(C84/B84,0)</f>
        <v>0.3333333333333333</v>
      </c>
    </row>
    <row r="85" spans="1:8" ht="20" customHeight="1">
      <c r="A85" s="3" t="s">
        <v>134</v>
      </c>
      <c r="B85" s="14">
        <v>13000</v>
      </c>
      <c r="C85" s="14">
        <v>4000</v>
      </c>
      <c r="D85" s="14">
        <v>1</v>
      </c>
      <c r="E85" s="15">
        <f>IFERROR(C85/B85,0)</f>
        <v>0.3076923076923077</v>
      </c>
    </row>
    <row r="86" spans="1:8" ht="20" customHeight="1">
      <c r="A86" s="3" t="s">
        <v>149</v>
      </c>
      <c r="B86" s="14">
        <v>9500</v>
      </c>
      <c r="C86" s="14">
        <v>2500</v>
      </c>
      <c r="D86" s="14">
        <v>1</v>
      </c>
      <c r="E86" s="15">
        <f>IFERROR(C86/B86,0)</f>
        <v>0.2631578947368421</v>
      </c>
    </row>
    <row r="87" spans="1:8" ht="20" customHeight="1">
      <c r="A87" s="3" t="s">
        <v>127</v>
      </c>
      <c r="B87" s="14">
        <v>7500</v>
      </c>
      <c r="C87" s="14">
        <v>3000</v>
      </c>
      <c r="D87" s="14">
        <v>1</v>
      </c>
      <c r="E87" s="15">
        <f>IFERROR(C87/B87,0)</f>
        <v>0.4</v>
      </c>
    </row>
    <row r="88" spans="1:8" ht="20" customHeight="1">
      <c r="A88" s="3" t="s">
        <v>145</v>
      </c>
      <c r="B88" s="14">
        <v>7000</v>
      </c>
      <c r="C88" s="14">
        <v>3000</v>
      </c>
      <c r="D88" s="14">
        <v>1</v>
      </c>
      <c r="E88" s="15">
        <f>IFERROR(C88/B88,0)</f>
        <v>0.42857142857142855</v>
      </c>
    </row>
    <row r="89" spans="1:8" ht="20" customHeight="1">
      <c r="A89" s="13" t="s">
        <v>258</v>
      </c>
      <c r="B89" s="14">
        <v>1037200</v>
      </c>
      <c r="C89" s="14">
        <v>186700</v>
      </c>
      <c r="D89" s="14">
        <v>33</v>
      </c>
      <c r="E89" s="15">
        <f>IFERROR(C89/B89,0)</f>
        <v>0.18000385653682993</v>
      </c>
    </row>
    <row r="93" spans="1:8" ht="20" customHeight="1">
      <c r="A93" s="11" t="s">
        <v>264</v>
      </c>
      <c r="B93" s="11"/>
      <c r="C93" s="11"/>
      <c r="D93" s="11"/>
      <c r="E93" s="11"/>
      <c r="F93" s="11"/>
      <c r="G93" s="11"/>
      <c r="H93" s="11"/>
    </row>
    <row r="94" spans="1:8" ht="20" customHeight="1">
      <c r="A94" s="13" t="s">
        <v>5</v>
      </c>
      <c r="B94" s="13" t="s">
        <v>10</v>
      </c>
      <c r="C94" s="13" t="s">
        <v>11</v>
      </c>
      <c r="D94" s="13" t="s">
        <v>12</v>
      </c>
      <c r="E94" s="13" t="s">
        <v>222</v>
      </c>
    </row>
    <row r="95" spans="1:8" ht="20" customHeight="1">
      <c r="A95" s="3" t="s">
        <v>37</v>
      </c>
      <c r="B95" s="14">
        <v>267000</v>
      </c>
      <c r="C95" s="14">
        <v>227000</v>
      </c>
      <c r="D95" s="14">
        <v>40000</v>
      </c>
      <c r="E95" s="15">
        <f>IFERROR(D95/B95,0)</f>
        <v>0.149812734082397</v>
      </c>
    </row>
    <row r="96" spans="1:8" ht="20" customHeight="1">
      <c r="A96" s="3" t="s">
        <v>16</v>
      </c>
      <c r="B96" s="14">
        <v>235000</v>
      </c>
      <c r="C96" s="14">
        <v>205000</v>
      </c>
      <c r="D96" s="14">
        <v>30000</v>
      </c>
      <c r="E96" s="15">
        <f>IFERROR(D96/B96,0)</f>
        <v>0.1276595744680851</v>
      </c>
    </row>
    <row r="97" spans="1:5" ht="20" customHeight="1">
      <c r="A97" s="3" t="s">
        <v>42</v>
      </c>
      <c r="B97" s="14">
        <v>122000</v>
      </c>
      <c r="C97" s="14">
        <v>101000</v>
      </c>
      <c r="D97" s="14">
        <v>21000</v>
      </c>
      <c r="E97" s="15">
        <f>IFERROR(D97/B97,0)</f>
        <v>0.1721311475409836</v>
      </c>
    </row>
    <row r="98" spans="1:5" ht="20" customHeight="1">
      <c r="A98" s="3" t="s">
        <v>65</v>
      </c>
      <c r="B98" s="14">
        <v>92000</v>
      </c>
      <c r="C98" s="14">
        <v>77000</v>
      </c>
      <c r="D98" s="14">
        <v>15000</v>
      </c>
      <c r="E98" s="15">
        <f>IFERROR(D98/B98,0)</f>
        <v>0.16304347826086957</v>
      </c>
    </row>
    <row r="99" spans="1:5" ht="20" customHeight="1">
      <c r="A99" s="3" t="s">
        <v>56</v>
      </c>
      <c r="B99" s="14">
        <v>72000</v>
      </c>
      <c r="C99" s="14">
        <v>60000</v>
      </c>
      <c r="D99" s="14">
        <v>12000</v>
      </c>
      <c r="E99" s="15">
        <f>IFERROR(D99/B99,0)</f>
        <v>0.16666666666666666</v>
      </c>
    </row>
    <row r="100" spans="1:5" ht="20" customHeight="1">
      <c r="A100" s="3" t="s">
        <v>26</v>
      </c>
      <c r="B100" s="14">
        <v>68000</v>
      </c>
      <c r="C100" s="14">
        <v>49000</v>
      </c>
      <c r="D100" s="14">
        <v>19000</v>
      </c>
      <c r="E100" s="15">
        <f>IFERROR(D100/B100,0)</f>
        <v>0.27941176470588236</v>
      </c>
    </row>
    <row r="101" spans="1:5" ht="20" customHeight="1">
      <c r="A101" s="3" t="s">
        <v>32</v>
      </c>
      <c r="B101" s="14">
        <v>46000</v>
      </c>
      <c r="C101" s="14">
        <v>39000</v>
      </c>
      <c r="D101" s="14">
        <v>7000</v>
      </c>
      <c r="E101" s="15">
        <f>IFERROR(D101/B101,0)</f>
        <v>0.15217391304347827</v>
      </c>
    </row>
    <row r="102" spans="1:5" ht="20" customHeight="1">
      <c r="A102" s="3" t="s">
        <v>57</v>
      </c>
      <c r="B102" s="14">
        <v>34000</v>
      </c>
      <c r="C102" s="14">
        <v>26000</v>
      </c>
      <c r="D102" s="14">
        <v>8000</v>
      </c>
      <c r="E102" s="15">
        <f>IFERROR(D102/B102,0)</f>
        <v>0.23529411764705882</v>
      </c>
    </row>
    <row r="103" spans="1:5" ht="20" customHeight="1">
      <c r="A103" s="3" t="s">
        <v>61</v>
      </c>
      <c r="B103" s="14">
        <v>28000</v>
      </c>
      <c r="C103" s="14">
        <v>19000</v>
      </c>
      <c r="D103" s="14">
        <v>9000</v>
      </c>
      <c r="E103" s="15">
        <f>IFERROR(D103/B103,0)</f>
        <v>0.32142857142857145</v>
      </c>
    </row>
    <row r="104" spans="1:5" ht="20" customHeight="1">
      <c r="A104" s="3" t="s">
        <v>53</v>
      </c>
      <c r="B104" s="14">
        <v>26500</v>
      </c>
      <c r="C104" s="14">
        <v>19000</v>
      </c>
      <c r="D104" s="14">
        <v>7500</v>
      </c>
      <c r="E104" s="15">
        <f>IFERROR(D104/B104,0)</f>
        <v>0.2830188679245283</v>
      </c>
    </row>
    <row r="105" spans="1:5" ht="20" customHeight="1">
      <c r="A105" s="3" t="s">
        <v>46</v>
      </c>
      <c r="B105" s="14">
        <v>22500</v>
      </c>
      <c r="C105" s="14">
        <v>14500</v>
      </c>
      <c r="D105" s="14">
        <v>8000</v>
      </c>
      <c r="E105" s="15">
        <f>IFERROR(D105/B105,0)</f>
        <v>0.35555555555555557</v>
      </c>
    </row>
    <row r="106" spans="1:5" ht="20" customHeight="1">
      <c r="A106" s="3" t="s">
        <v>38</v>
      </c>
      <c r="B106" s="14">
        <v>13200</v>
      </c>
      <c r="C106" s="14">
        <v>7500</v>
      </c>
      <c r="D106" s="14">
        <v>5700</v>
      </c>
      <c r="E106" s="15">
        <f>IFERROR(D106/B106,0)</f>
        <v>0.4318181818181818</v>
      </c>
    </row>
    <row r="107" spans="1:5" ht="20" customHeight="1">
      <c r="A107" s="3" t="s">
        <v>22</v>
      </c>
      <c r="B107" s="14">
        <v>11000</v>
      </c>
      <c r="C107" s="14">
        <v>6500</v>
      </c>
      <c r="D107" s="14">
        <v>4500</v>
      </c>
      <c r="E107" s="15">
        <f>IFERROR(D107/B107,0)</f>
        <v>0.4090909090909091</v>
      </c>
    </row>
    <row r="108" spans="1:5" ht="20" customHeight="1">
      <c r="A108" s="13" t="s">
        <v>258</v>
      </c>
      <c r="B108" s="14">
        <v>1037200</v>
      </c>
      <c r="C108" s="14">
        <v>850500</v>
      </c>
      <c r="D108" s="14">
        <v>186700</v>
      </c>
      <c r="E108" s="15">
        <f>IFERROR(D108/B108,0)</f>
        <v>0.18000385653682993</v>
      </c>
    </row>
  </sheetData>
  <mergeCells count="8">
    <mergeCell ref="A1:H2"/>
    <mergeCell ref="A3:H4"/>
    <mergeCell ref="A7:H7"/>
    <mergeCell ref="A26:H26"/>
    <mergeCell ref="A34:H34"/>
    <mergeCell ref="A44:H44"/>
    <mergeCell ref="A60:H60"/>
    <mergeCell ref="A93:H93"/>
  </mergeCells>
  <conditionalFormatting sqref="B28:B29">
    <cfRule type="dataBar" priority="4">
      <dataBar>
        <cfvo type="min" val="0"/>
        <cfvo type="max" val="0"/>
        <color rgb="FF337DC1"/>
      </dataBar>
    </cfRule>
  </conditionalFormatting>
  <conditionalFormatting sqref="B36:B39">
    <cfRule type="dataBar" priority="7">
      <dataBar>
        <cfvo type="min" val="0"/>
        <cfvo type="max" val="0"/>
        <color rgb="FF337DC1"/>
      </dataBar>
    </cfRule>
  </conditionalFormatting>
  <conditionalFormatting sqref="B46:B55">
    <cfRule type="dataBar" priority="10">
      <dataBar>
        <cfvo type="min" val="0"/>
        <cfvo type="max" val="0"/>
        <color rgb="FF337DC1"/>
      </dataBar>
    </cfRule>
  </conditionalFormatting>
  <conditionalFormatting sqref="B62:B88">
    <cfRule type="dataBar" priority="13">
      <dataBar>
        <cfvo type="min" val="0"/>
        <cfvo type="max" val="0"/>
        <color rgb="FF337DC1"/>
      </dataBar>
    </cfRule>
  </conditionalFormatting>
  <conditionalFormatting sqref="B95:B107">
    <cfRule type="dataBar" priority="16">
      <dataBar>
        <cfvo type="min" val="0"/>
        <cfvo type="max" val="0"/>
        <color rgb="FF337DC1"/>
      </dataBar>
    </cfRule>
  </conditionalFormatting>
  <conditionalFormatting sqref="B9:B21">
    <cfRule type="dataBar" priority="1">
      <dataBar>
        <cfvo type="min" val="0"/>
        <cfvo type="max" val="0"/>
        <color rgb="FF337DC1"/>
      </dataBar>
    </cfRule>
  </conditionalFormatting>
  <conditionalFormatting sqref="C36:C39">
    <cfRule type="dataBar" priority="8">
      <dataBar>
        <cfvo type="min" val="0"/>
        <cfvo type="max" val="0"/>
        <color rgb="FF00A99D"/>
      </dataBar>
    </cfRule>
  </conditionalFormatting>
  <conditionalFormatting sqref="C46:C55">
    <cfRule type="dataBar" priority="11">
      <dataBar>
        <cfvo type="min" val="0"/>
        <cfvo type="max" val="0"/>
        <color rgb="FF00A99D"/>
      </dataBar>
    </cfRule>
  </conditionalFormatting>
  <conditionalFormatting sqref="C62:C88">
    <cfRule type="dataBar" priority="14">
      <dataBar>
        <cfvo type="min" val="0"/>
        <cfvo type="max" val="0"/>
        <color rgb="FF00A99D"/>
      </dataBar>
    </cfRule>
  </conditionalFormatting>
  <conditionalFormatting sqref="D28:D29">
    <cfRule type="dataBar" priority="5">
      <dataBar>
        <cfvo type="min" val="0"/>
        <cfvo type="max" val="0"/>
        <color rgb="FF00A99D"/>
      </dataBar>
    </cfRule>
  </conditionalFormatting>
  <conditionalFormatting sqref="D95:D107">
    <cfRule type="dataBar" priority="17">
      <dataBar>
        <cfvo type="min" val="0"/>
        <cfvo type="max" val="0"/>
        <color rgb="FF00A99D"/>
      </dataBar>
    </cfRule>
  </conditionalFormatting>
  <conditionalFormatting sqref="D9:D21">
    <cfRule type="dataBar" priority="2">
      <dataBar>
        <cfvo type="min" val="0"/>
        <cfvo type="max" val="0"/>
        <color rgb="FF00A99D"/>
      </dataBar>
    </cfRule>
  </conditionalFormatting>
  <conditionalFormatting sqref="E46:E55">
    <cfRule type="cellIs" dxfId="1" priority="12" operator="lessThan">
      <formula>0.15</formula>
    </cfRule>
  </conditionalFormatting>
  <conditionalFormatting sqref="E62:E88">
    <cfRule type="cellIs" dxfId="1" priority="15" operator="lessThan">
      <formula>0.15</formula>
    </cfRule>
  </conditionalFormatting>
  <conditionalFormatting sqref="E95:E107">
    <cfRule type="cellIs" dxfId="1" priority="18" operator="lessThan">
      <formula>0.15</formula>
    </cfRule>
  </conditionalFormatting>
  <conditionalFormatting sqref="E9:E21">
    <cfRule type="cellIs" dxfId="1" priority="3" operator="lessThan">
      <formula>0.15</formula>
    </cfRule>
  </conditionalFormatting>
  <conditionalFormatting sqref="F28:F29">
    <cfRule type="cellIs" dxfId="1" priority="6" operator="lessThan">
      <formula>0.15</formula>
    </cfRule>
  </conditionalFormatting>
  <conditionalFormatting sqref="F36:F39">
    <cfRule type="cellIs" dxfId="1" priority="9" operator="lessThan">
      <formula>0.15</formula>
    </cfRule>
  </conditionalFormatting>
  <pageMargins left="0.7" right="0.7" top="0.75" bottom="0.75" header="0.3" footer="0.3"/>
  <pageSetup paperSize="9" fitToHeight="0" orientation="landscape"/>
  <headerFooter>
    <oddFooter>&amp;LSales analysis | Source: supplied workbook&amp;RPage &amp;P of &amp;N</oddFooter>
  </headerFooter>
</worksheet>
</file>

<file path=xl/worksheets/sheet4.xml><?xml version="1.0" encoding="utf-8"?>
<worksheet xmlns="http://schemas.openxmlformats.org/spreadsheetml/2006/main" xmlns:r="http://schemas.openxmlformats.org/officeDocument/2006/relationships">
  <sheetPr>
    <tabColor rgb="FF00A99D"/>
    <pageSetUpPr fitToPage="1"/>
  </sheetPr>
  <dimension ref="A1:I161"/>
  <sheetViews>
    <sheetView showGridLines="0" zoomScale="90" zoomScaleNormal="90" workbookViewId="0"/>
  </sheetViews>
  <sheetFormatPr defaultRowHeight="20" customHeight="1"/>
  <cols>
    <col min="1" max="1" width="34.7109375" customWidth="1"/>
    <col min="2" max="6" width="20.7109375" customWidth="1"/>
  </cols>
  <sheetData>
    <row r="1" spans="1:9" ht="28" customHeight="1">
      <c r="A1" s="1" t="s">
        <v>207</v>
      </c>
      <c r="B1" s="1"/>
      <c r="C1" s="1"/>
      <c r="D1" s="1"/>
      <c r="E1" s="1"/>
      <c r="F1" s="1"/>
      <c r="G1" s="1"/>
      <c r="H1" s="1"/>
      <c r="I1" s="1"/>
    </row>
    <row r="2" spans="1:9" ht="20" customHeight="1">
      <c r="A2" s="1"/>
      <c r="B2" s="1"/>
      <c r="C2" s="1"/>
      <c r="D2" s="1"/>
      <c r="E2" s="1"/>
      <c r="F2" s="1"/>
      <c r="G2" s="1"/>
      <c r="H2" s="1"/>
      <c r="I2" s="1"/>
    </row>
    <row r="3" spans="1:9" ht="20" customHeight="1">
      <c r="A3" s="2" t="s">
        <v>208</v>
      </c>
      <c r="B3" s="2"/>
      <c r="C3" s="2"/>
      <c r="D3" s="2"/>
      <c r="E3" s="2"/>
      <c r="F3" s="2"/>
      <c r="G3" s="2"/>
      <c r="H3" s="2"/>
      <c r="I3" s="2"/>
    </row>
    <row r="4" spans="1:9" ht="20" customHeight="1">
      <c r="A4" s="2"/>
      <c r="B4" s="2"/>
      <c r="C4" s="2"/>
      <c r="D4" s="2"/>
      <c r="E4" s="2"/>
      <c r="F4" s="2"/>
      <c r="G4" s="2"/>
      <c r="H4" s="2"/>
      <c r="I4" s="2"/>
    </row>
    <row r="6" spans="1:9" ht="20" customHeight="1">
      <c r="A6" s="13" t="s">
        <v>209</v>
      </c>
      <c r="B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f>
        <v>1037200.0</v>
      </c>
      <c r="D6" s="12" t="s">
        <v>217</v>
      </c>
      <c r="E6" s="12"/>
      <c r="F6" s="12"/>
      <c r="G6" s="12"/>
      <c r="H6" s="12"/>
      <c r="I6" s="12"/>
    </row>
    <row r="7" spans="1:9" ht="20" customHeight="1">
      <c r="A7" s="13" t="s">
        <v>210</v>
      </c>
      <c r="B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f>
        <v>850500.0</v>
      </c>
      <c r="D7" s="12"/>
      <c r="E7" s="12"/>
      <c r="F7" s="12"/>
      <c r="G7" s="12"/>
      <c r="H7" s="12"/>
      <c r="I7" s="12"/>
    </row>
    <row r="8" spans="1:9" ht="20" customHeight="1">
      <c r="A8" s="13" t="s">
        <v>211</v>
      </c>
      <c r="B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f>
        <v>186700.0</v>
      </c>
      <c r="D8" s="12"/>
      <c r="E8" s="12"/>
      <c r="F8" s="12"/>
      <c r="G8" s="12"/>
      <c r="H8" s="12"/>
      <c r="I8" s="12"/>
    </row>
    <row r="9" spans="1:9" ht="20" customHeight="1">
      <c r="A9" s="13" t="s">
        <v>110</v>
      </c>
      <c r="B9" s="15">
        <f>IFERROR(B8/B6,0)</f>
        <v>0.18000385653682993</v>
      </c>
      <c r="D9" s="12"/>
      <c r="E9" s="12"/>
      <c r="F9" s="12"/>
      <c r="G9" s="12"/>
      <c r="H9" s="12"/>
      <c r="I9" s="12"/>
    </row>
    <row r="10" spans="1:9" ht="20" customHeight="1">
      <c r="A10" s="13" t="s">
        <v>212</v>
      </c>
      <c r="B1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f>
        <v>30.0</v>
      </c>
    </row>
    <row r="11" spans="1:9" ht="20" customHeight="1">
      <c r="A11" s="13" t="s">
        <v>213</v>
      </c>
      <c r="B1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f>
        <v>96.0</v>
      </c>
      <c r="D11" s="12" t="s">
        <v>218</v>
      </c>
      <c r="E11" s="12"/>
      <c r="F11" s="12"/>
      <c r="G11" s="12"/>
      <c r="H11" s="12"/>
      <c r="I11" s="12"/>
    </row>
    <row r="12" spans="1:9" ht="20" customHeight="1">
      <c r="A12" s="13" t="s">
        <v>214</v>
      </c>
      <c r="B12" s="16">
        <f>IFERROR(B6/B10,0)</f>
        <v>34573.333333333336</v>
      </c>
      <c r="D12" s="12"/>
      <c r="E12" s="12"/>
      <c r="F12" s="12"/>
      <c r="G12" s="12"/>
      <c r="H12" s="12"/>
      <c r="I12" s="12"/>
    </row>
    <row r="13" spans="1:9" ht="20" customHeight="1">
      <c r="A13" s="13" t="s">
        <v>215</v>
      </c>
      <c r="B13" s="16">
        <f>IFERROR(B6/B11,0)</f>
        <v>10804.166666666666</v>
      </c>
      <c r="D13" s="12"/>
      <c r="E13" s="12"/>
      <c r="F13" s="12"/>
      <c r="G13" s="12"/>
      <c r="H13" s="12"/>
      <c r="I13" s="12"/>
    </row>
    <row r="14" spans="1:9" ht="20" customHeight="1">
      <c r="A14" s="13" t="s">
        <v>216</v>
      </c>
      <c r="B1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f>
        <v>33.0</v>
      </c>
      <c r="D14" s="12"/>
      <c r="E14" s="12"/>
      <c r="F14" s="12"/>
      <c r="G14" s="12"/>
      <c r="H14" s="12"/>
      <c r="I14" s="12"/>
    </row>
    <row r="18" spans="1:8" ht="20" customHeight="1">
      <c r="A18" s="11" t="s">
        <v>219</v>
      </c>
      <c r="B18" s="11"/>
      <c r="C18" s="11"/>
      <c r="D18" s="11"/>
      <c r="E18" s="11"/>
      <c r="F18" s="11"/>
      <c r="G18" s="11"/>
      <c r="H18" s="11"/>
    </row>
    <row r="19" spans="1:8" ht="20" customHeight="1">
      <c r="A19" s="13" t="s">
        <v>5</v>
      </c>
      <c r="B19" s="13" t="s">
        <v>10</v>
      </c>
      <c r="C19" s="13" t="s">
        <v>11</v>
      </c>
      <c r="D19" s="13" t="s">
        <v>12</v>
      </c>
      <c r="E19" s="13" t="s">
        <v>8</v>
      </c>
      <c r="F19" s="13" t="s">
        <v>220</v>
      </c>
      <c r="G19" s="13" t="s">
        <v>221</v>
      </c>
      <c r="H19" s="13" t="s">
        <v>222</v>
      </c>
    </row>
    <row r="20" spans="1:8" ht="20" customHeight="1">
      <c r="A20" s="3" t="s">
        <v>37</v>
      </c>
      <c r="B2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Data'!$F$2:$F$34,A20)</f>
        <v>267000.0</v>
      </c>
      <c r="C2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Data'!$F$2:$F$34,A20)</f>
        <v>227000.0</v>
      </c>
      <c r="D2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Data'!$F$2:$F$34,A20)</f>
        <v>40000.0</v>
      </c>
      <c r="E2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Data'!$F$2:$F$34,A20)</f>
        <v>13.0</v>
      </c>
      <c r="F2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Data'!$F$2:$F$34,A20)</f>
        <v>4</v>
      </c>
      <c r="G2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Data'!$F$2:$F$34=A20))))</f>
        <v>3</v>
      </c>
      <c r="H20" s="15">
        <f>IFERROR(D20/B20,0)</f>
        <v>0.149812734082397</v>
      </c>
    </row>
    <row r="21" spans="1:8" ht="20" customHeight="1">
      <c r="A21" s="3" t="s">
        <v>16</v>
      </c>
      <c r="B2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Data'!$F$2:$F$34,A21)</f>
        <v>235000.0</v>
      </c>
      <c r="C2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Data'!$F$2:$F$34,A21)</f>
        <v>205000.0</v>
      </c>
      <c r="D2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Data'!$F$2:$F$34,A21)</f>
        <v>30000.0</v>
      </c>
      <c r="E2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Data'!$F$2:$F$34,A21)</f>
        <v>4.0</v>
      </c>
      <c r="F2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Data'!$F$2:$F$34,A21)</f>
        <v>3</v>
      </c>
      <c r="G2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Data'!$F$2:$F$34=A21))))</f>
        <v>3</v>
      </c>
      <c r="H21" s="15">
        <f>IFERROR(D21/B21,0)</f>
        <v>0.1276595744680851</v>
      </c>
    </row>
    <row r="22" spans="1:8" ht="20" customHeight="1">
      <c r="A22" s="3" t="s">
        <v>42</v>
      </c>
      <c r="B22"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Data'!$F$2:$F$34,A22)</f>
        <v>122000.0</v>
      </c>
      <c r="C22"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Data'!$F$2:$F$34,A22)</f>
        <v>101000.0</v>
      </c>
      <c r="D22"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Data'!$F$2:$F$34,A22)</f>
        <v>21000.0</v>
      </c>
      <c r="E22"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Data'!$F$2:$F$34,A22)</f>
        <v>3.0</v>
      </c>
      <c r="F22"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Data'!$F$2:$F$34,A22)</f>
        <v>3</v>
      </c>
      <c r="G22"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Data'!$F$2:$F$34=A22))/(COUNTIFS('Cleaned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Data'!$F$2:$F$34,A22)+1-((IF('Sales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Data'!$F$2:$F$34=A22))))</f>
        <v>3</v>
      </c>
      <c r="H22" s="15">
        <f>IFERROR(D22/B22,0)</f>
        <v>0.1721311475409836</v>
      </c>
    </row>
    <row r="23" spans="1:8" ht="20" customHeight="1">
      <c r="A23" s="3" t="s">
        <v>65</v>
      </c>
      <c r="B23"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Data'!$F$2:$F$34,A23)</f>
        <v>92000.0</v>
      </c>
      <c r="C23"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Data'!$F$2:$F$34,A23)</f>
        <v>77000.0</v>
      </c>
      <c r="D23"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Data'!$F$2:$F$34,A23)</f>
        <v>15000.0</v>
      </c>
      <c r="E23"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Data'!$F$2:$F$34,A23)</f>
        <v>5.0</v>
      </c>
      <c r="F23"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Data'!$F$2:$F$34,A23)</f>
        <v>2</v>
      </c>
      <c r="G23"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Data'!$F$2:$F$34=A23))/(COUNTIFS('Cleaned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Data'!$F$2:$F$34,A23)+1-((IF('Sales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Data'!$F$2:$F$34=A23))))</f>
        <v>2</v>
      </c>
      <c r="H23" s="15">
        <f>IFERROR(D23/B23,0)</f>
        <v>0.16304347826086957</v>
      </c>
    </row>
    <row r="24" spans="1:8" ht="20" customHeight="1">
      <c r="A24" s="3" t="s">
        <v>56</v>
      </c>
      <c r="B24"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Data'!$F$2:$F$34,A24)</f>
        <v>72000.0</v>
      </c>
      <c r="C24"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Data'!$F$2:$F$34,A24)</f>
        <v>60000.0</v>
      </c>
      <c r="D24"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Data'!$F$2:$F$34,A24)</f>
        <v>12000.0</v>
      </c>
      <c r="E24"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Data'!$F$2:$F$34,A24)</f>
        <v>5.0</v>
      </c>
      <c r="F2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Data'!$F$2:$F$34,A24)</f>
        <v>2</v>
      </c>
      <c r="G24"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Data'!$F$2:$F$34=A24))/(COUNTIFS('Cleaned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Data'!$F$2:$F$34,A24)+1-((IF('Sales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Data'!$F$2:$F$34=A24))))</f>
        <v>2</v>
      </c>
      <c r="H24" s="15">
        <f>IFERROR(D24/B24,0)</f>
        <v>0.16666666666666666</v>
      </c>
    </row>
    <row r="25" spans="1:8" ht="20" customHeight="1">
      <c r="A25" s="3" t="s">
        <v>26</v>
      </c>
      <c r="B2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Data'!$F$2:$F$34,A25)</f>
        <v>68000.0</v>
      </c>
      <c r="C2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Data'!$F$2:$F$34,A25)</f>
        <v>49000.0</v>
      </c>
      <c r="D2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Data'!$F$2:$F$34,A25)</f>
        <v>19000.0</v>
      </c>
      <c r="E2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Data'!$F$2:$F$34,A25)</f>
        <v>17.0</v>
      </c>
      <c r="F2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Data'!$F$2:$F$34,A25)</f>
        <v>4</v>
      </c>
      <c r="G2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Data'!$F$2:$F$34=A25))))</f>
        <v>3</v>
      </c>
      <c r="H25" s="15">
        <f>IFERROR(D25/B25,0)</f>
        <v>0.27941176470588236</v>
      </c>
    </row>
    <row r="26" spans="1:8" ht="20" customHeight="1">
      <c r="A26" s="3" t="s">
        <v>32</v>
      </c>
      <c r="B2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Data'!$F$2:$F$34,A26)</f>
        <v>46000.0</v>
      </c>
      <c r="C2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Data'!$F$2:$F$34,A26)</f>
        <v>39000.0</v>
      </c>
      <c r="D2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Data'!$F$2:$F$34,A26)</f>
        <v>7000.0</v>
      </c>
      <c r="E2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Data'!$F$2:$F$34,A26)</f>
        <v>6.0</v>
      </c>
      <c r="F2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Data'!$F$2:$F$34,A26)</f>
        <v>3</v>
      </c>
      <c r="G2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Data'!$F$2:$F$34=A26))))</f>
        <v>2</v>
      </c>
      <c r="H26" s="15">
        <f>IFERROR(D26/B26,0)</f>
        <v>0.15217391304347827</v>
      </c>
    </row>
    <row r="27" spans="1:8" ht="20" customHeight="1">
      <c r="A27" s="3" t="s">
        <v>57</v>
      </c>
      <c r="B2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Data'!$F$2:$F$34,A27)</f>
        <v>34000.0</v>
      </c>
      <c r="C2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Data'!$F$2:$F$34,A27)</f>
        <v>26000.0</v>
      </c>
      <c r="D2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Data'!$F$2:$F$34,A27)</f>
        <v>8000.0</v>
      </c>
      <c r="E2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Data'!$F$2:$F$34,A27)</f>
        <v>3.0</v>
      </c>
      <c r="F2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Data'!$F$2:$F$34,A27)</f>
        <v>2</v>
      </c>
      <c r="G2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Data'!$F$2:$F$34=A27))))</f>
        <v>2</v>
      </c>
      <c r="H27" s="15">
        <f>IFERROR(D27/B27,0)</f>
        <v>0.23529411764705882</v>
      </c>
    </row>
    <row r="28" spans="1:8" ht="20" customHeight="1">
      <c r="A28" s="3" t="s">
        <v>61</v>
      </c>
      <c r="B2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Data'!$F$2:$F$34,A28)</f>
        <v>28000.0</v>
      </c>
      <c r="C2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Data'!$F$2:$F$34,A28)</f>
        <v>19000.0</v>
      </c>
      <c r="D2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Data'!$F$2:$F$34,A28)</f>
        <v>9000.0</v>
      </c>
      <c r="E2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Data'!$F$2:$F$34,A28)</f>
        <v>4.0</v>
      </c>
      <c r="F2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Data'!$F$2:$F$34,A28)</f>
        <v>2</v>
      </c>
      <c r="G2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Data'!$F$2:$F$34=A28))))</f>
        <v>2</v>
      </c>
      <c r="H28" s="15">
        <f>IFERROR(D28/B28,0)</f>
        <v>0.32142857142857145</v>
      </c>
    </row>
    <row r="29" spans="1:8" ht="20" customHeight="1">
      <c r="A29" s="3" t="s">
        <v>53</v>
      </c>
      <c r="B2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Data'!$F$2:$F$34,A29)</f>
        <v>26500.0</v>
      </c>
      <c r="C2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Data'!$F$2:$F$34,A29)</f>
        <v>19000.0</v>
      </c>
      <c r="D2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Data'!$F$2:$F$34,A29)</f>
        <v>7500.0</v>
      </c>
      <c r="E2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Data'!$F$2:$F$34,A29)</f>
        <v>3.0</v>
      </c>
      <c r="F2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Data'!$F$2:$F$34,A29)</f>
        <v>2</v>
      </c>
      <c r="G2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Data'!$F$2:$F$34,A29)+1-((IF('Sales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Data'!$F$2:$F$34=A29))))</f>
        <v>2</v>
      </c>
      <c r="H29" s="15">
        <f>IFERROR(D29/B29,0)</f>
        <v>0.2830188679245283</v>
      </c>
    </row>
    <row r="30" spans="1:8" ht="20" customHeight="1">
      <c r="A30" s="3" t="s">
        <v>46</v>
      </c>
      <c r="B3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Data'!$F$2:$F$34,A30)</f>
        <v>22500.0</v>
      </c>
      <c r="C3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Data'!$F$2:$F$34,A30)</f>
        <v>14500.0</v>
      </c>
      <c r="D3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Data'!$F$2:$F$34,A30)</f>
        <v>8000.0</v>
      </c>
      <c r="E3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Data'!$F$2:$F$34,A30)</f>
        <v>8.0</v>
      </c>
      <c r="F3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Data'!$F$2:$F$34,A30)</f>
        <v>2</v>
      </c>
      <c r="G3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Data'!$F$2:$F$34=A30))/(COUNTIFS('Cleaned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Data'!$F$2:$F$34=A30))))</f>
        <v>2</v>
      </c>
      <c r="H30" s="15">
        <f>IFERROR(D30/B30,0)</f>
        <v>0.35555555555555557</v>
      </c>
    </row>
    <row r="31" spans="1:8" ht="20" customHeight="1">
      <c r="A31" s="3" t="s">
        <v>38</v>
      </c>
      <c r="B3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Data'!$F$2:$F$34,A31)</f>
        <v>13200.0</v>
      </c>
      <c r="C3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Data'!$F$2:$F$34,A31)</f>
        <v>7500.0</v>
      </c>
      <c r="D3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Data'!$F$2:$F$34,A31)</f>
        <v>5700.0</v>
      </c>
      <c r="E3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Data'!$F$2:$F$34,A31)</f>
        <v>10.0</v>
      </c>
      <c r="F3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Data'!$F$2:$F$34,A31)</f>
        <v>2</v>
      </c>
      <c r="G3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Data'!$F$2:$F$34=A31))/(COUNTIFS('Cleaned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Data'!$F$2:$F$34=A31))))</f>
        <v>2</v>
      </c>
      <c r="H31" s="15">
        <f>IFERROR(D31/B31,0)</f>
        <v>0.4318181818181818</v>
      </c>
    </row>
    <row r="32" spans="1:8" ht="20" customHeight="1">
      <c r="A32" s="3" t="s">
        <v>22</v>
      </c>
      <c r="B32"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Data'!$F$2:$F$34,A32)</f>
        <v>11000.0</v>
      </c>
      <c r="C32"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Data'!$F$2:$F$34,A32)</f>
        <v>6500.0</v>
      </c>
      <c r="D32"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Data'!$F$2:$F$34,A32)</f>
        <v>4500.0</v>
      </c>
      <c r="E32"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Data'!$F$2:$F$34,A32)</f>
        <v>15.0</v>
      </c>
      <c r="F32"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Data'!$F$2:$F$34,A32)</f>
        <v>2</v>
      </c>
      <c r="G32"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Data'!$F$2:$F$34=A32))/(COUNTIFS('Cleaned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Data'!$F$2:$F$34,A32)+1-((IF('Sales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Data'!$F$2:$F$34=A32))))</f>
        <v>2</v>
      </c>
      <c r="H32" s="15">
        <f>IFERROR(D32/B32,0)</f>
        <v>0.4090909090909091</v>
      </c>
    </row>
    <row r="36" spans="1:8" ht="20" customHeight="1">
      <c r="A36" s="11" t="s">
        <v>223</v>
      </c>
      <c r="B36" s="11"/>
      <c r="C36" s="11"/>
      <c r="D36" s="11"/>
      <c r="E36" s="11"/>
      <c r="F36" s="11"/>
      <c r="G36" s="11"/>
      <c r="H36" s="11"/>
    </row>
    <row r="37" spans="1:8" ht="20" customHeight="1">
      <c r="A37" s="13" t="s">
        <v>6</v>
      </c>
      <c r="B37" s="13" t="s">
        <v>10</v>
      </c>
      <c r="C37" s="13" t="s">
        <v>11</v>
      </c>
      <c r="D37" s="13" t="s">
        <v>12</v>
      </c>
      <c r="E37" s="13" t="s">
        <v>8</v>
      </c>
      <c r="F37" s="13" t="s">
        <v>220</v>
      </c>
      <c r="G37" s="13" t="s">
        <v>221</v>
      </c>
      <c r="H37" s="13" t="s">
        <v>222</v>
      </c>
    </row>
    <row r="38" spans="1:8" ht="20" customHeight="1">
      <c r="A38" s="3" t="s">
        <v>17</v>
      </c>
      <c r="B3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Data'!$G$2:$G$34,A38)</f>
        <v>746700.0</v>
      </c>
      <c r="C3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Data'!$G$2:$G$34,A38)</f>
        <v>623500.0</v>
      </c>
      <c r="D3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Data'!$G$2:$G$34,A38)</f>
        <v>123200.0</v>
      </c>
      <c r="E3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Data'!$G$2:$G$34,A38)</f>
        <v>63.0</v>
      </c>
      <c r="F3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Data'!$G$2:$G$34,A38)</f>
        <v>19</v>
      </c>
      <c r="G3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Data'!$G$2:$G$34=A38))/(COUNTIFS('Cleaned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Data'!$G$2:$G$34=A38))))</f>
        <v>18</v>
      </c>
      <c r="H38" s="15">
        <f>IFERROR(D38/B38,0)</f>
        <v>0.1649926342573992</v>
      </c>
    </row>
    <row r="39" spans="1:8" ht="20" customHeight="1">
      <c r="A39" s="3" t="s">
        <v>27</v>
      </c>
      <c r="B3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Data'!$G$2:$G$34,A39)</f>
        <v>290500.0</v>
      </c>
      <c r="C3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Data'!$G$2:$G$34,A39)</f>
        <v>227000.0</v>
      </c>
      <c r="D3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Data'!$G$2:$G$34,A39)</f>
        <v>63500.0</v>
      </c>
      <c r="E3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Data'!$G$2:$G$34,A39)</f>
        <v>33.0</v>
      </c>
      <c r="F3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Data'!$G$2:$G$34,A39)</f>
        <v>14</v>
      </c>
      <c r="G3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Data'!$G$2:$G$34=A39))/(COUNTIFS('Cleaned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Data'!$G$2:$G$34,A39)+1-((IF('Sales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Data'!$G$2:$G$34=A39))))</f>
        <v>12</v>
      </c>
      <c r="H39" s="15">
        <f>IFERROR(D39/B39,0)</f>
        <v>0.21858864027538727</v>
      </c>
    </row>
    <row r="43" spans="1:8" ht="20" customHeight="1">
      <c r="A43" s="11" t="s">
        <v>224</v>
      </c>
      <c r="B43" s="11"/>
      <c r="C43" s="11"/>
      <c r="D43" s="11"/>
      <c r="E43" s="11"/>
      <c r="F43" s="11"/>
      <c r="G43" s="11"/>
      <c r="H43" s="11"/>
    </row>
    <row r="44" spans="1:8" ht="20" customHeight="1">
      <c r="A44" s="13" t="s">
        <v>7</v>
      </c>
      <c r="B44" s="13" t="s">
        <v>10</v>
      </c>
      <c r="C44" s="13" t="s">
        <v>11</v>
      </c>
      <c r="D44" s="13" t="s">
        <v>12</v>
      </c>
      <c r="E44" s="13" t="s">
        <v>8</v>
      </c>
      <c r="F44" s="13" t="s">
        <v>220</v>
      </c>
      <c r="G44" s="13" t="s">
        <v>221</v>
      </c>
      <c r="H44" s="13" t="s">
        <v>222</v>
      </c>
    </row>
    <row r="45" spans="1:8" ht="20" customHeight="1">
      <c r="A45" s="3" t="s">
        <v>18</v>
      </c>
      <c r="B4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Data'!$H$2:$H$34,A45)</f>
        <v>522500.0</v>
      </c>
      <c r="C4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Data'!$H$2:$H$34,A45)</f>
        <v>446000.0</v>
      </c>
      <c r="D4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Data'!$H$2:$H$34,A45)</f>
        <v>76500.0</v>
      </c>
      <c r="E4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Data'!$H$2:$H$34,A45)</f>
        <v>19.0</v>
      </c>
      <c r="F4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Data'!$H$2:$H$34,A45)</f>
        <v>9</v>
      </c>
      <c r="G4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Data'!$H$2:$H$34=A45))))</f>
        <v>8</v>
      </c>
      <c r="H45" s="15">
        <f>IFERROR(D45/B45,0)</f>
        <v>0.14641148325358852</v>
      </c>
    </row>
    <row r="46" spans="1:8" ht="20" customHeight="1">
      <c r="A46" s="3" t="s">
        <v>28</v>
      </c>
      <c r="B4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Data'!$H$2:$H$34,A46)</f>
        <v>190000.0</v>
      </c>
      <c r="C4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Data'!$H$2:$H$34,A46)</f>
        <v>147000.0</v>
      </c>
      <c r="D4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Data'!$H$2:$H$34,A46)</f>
        <v>43000.0</v>
      </c>
      <c r="E4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Data'!$H$2:$H$34,A46)</f>
        <v>28.0</v>
      </c>
      <c r="F4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Data'!$H$2:$H$34,A46)</f>
        <v>8</v>
      </c>
      <c r="G4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Data'!$H$2:$H$34=A46))))</f>
        <v>7</v>
      </c>
      <c r="H46" s="15">
        <f>IFERROR(D46/B46,0)</f>
        <v>0.22631578947368422</v>
      </c>
    </row>
    <row r="47" spans="1:8" ht="20" customHeight="1">
      <c r="A47" s="3" t="s">
        <v>33</v>
      </c>
      <c r="B4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Data'!$H$2:$H$34,A47)</f>
        <v>176500.0</v>
      </c>
      <c r="C4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Data'!$H$2:$H$34,A47)</f>
        <v>144500.0</v>
      </c>
      <c r="D4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Data'!$H$2:$H$34,A47)</f>
        <v>32000.0</v>
      </c>
      <c r="E4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Data'!$H$2:$H$34,A47)</f>
        <v>15.0</v>
      </c>
      <c r="F4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Data'!$H$2:$H$34,A47)</f>
        <v>8</v>
      </c>
      <c r="G4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Data'!$H$2:$H$34=A47))))</f>
        <v>7</v>
      </c>
      <c r="H47" s="15">
        <f>IFERROR(D47/B47,0)</f>
        <v>0.1813031161473088</v>
      </c>
    </row>
    <row r="48" spans="1:8" ht="20" customHeight="1">
      <c r="A48" s="3" t="s">
        <v>23</v>
      </c>
      <c r="B4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Data'!$H$2:$H$34,A48)</f>
        <v>148200.0</v>
      </c>
      <c r="C4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Data'!$H$2:$H$34,A48)</f>
        <v>113000.0</v>
      </c>
      <c r="D4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Data'!$H$2:$H$34,A48)</f>
        <v>35200.0</v>
      </c>
      <c r="E4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Data'!$H$2:$H$34,A48)</f>
        <v>34.0</v>
      </c>
      <c r="F4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Data'!$H$2:$H$34,A48)</f>
        <v>8</v>
      </c>
      <c r="G4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Data'!$H$2:$H$34,A48)+1-((IF('Sales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Data'!$H$2:$H$34=A48))))</f>
        <v>8</v>
      </c>
      <c r="H48" s="15">
        <f>IFERROR(D48/B48,0)</f>
        <v>0.23751686909581646</v>
      </c>
    </row>
    <row r="52" spans="1:8" ht="20" customHeight="1">
      <c r="A52" s="11" t="s">
        <v>225</v>
      </c>
      <c r="B52" s="11"/>
      <c r="C52" s="11"/>
      <c r="D52" s="11"/>
      <c r="E52" s="11"/>
      <c r="F52" s="11"/>
      <c r="G52" s="11"/>
      <c r="H52" s="11"/>
    </row>
    <row r="53" spans="1:8" ht="20" customHeight="1">
      <c r="A53" s="13" t="s">
        <v>112</v>
      </c>
      <c r="B53" s="13" t="s">
        <v>10</v>
      </c>
      <c r="C53" s="13" t="s">
        <v>11</v>
      </c>
      <c r="D53" s="13" t="s">
        <v>12</v>
      </c>
      <c r="E53" s="13" t="s">
        <v>8</v>
      </c>
      <c r="F53" s="13" t="s">
        <v>220</v>
      </c>
      <c r="G53" s="13" t="s">
        <v>221</v>
      </c>
      <c r="H53" s="13" t="s">
        <v>222</v>
      </c>
    </row>
    <row r="54" spans="1:8" ht="20" customHeight="1">
      <c r="A54" s="3" t="s">
        <v>156</v>
      </c>
      <c r="B54"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Data'!$P$2:$P$34,A54)</f>
        <v>80000.0</v>
      </c>
      <c r="C54"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Data'!$P$2:$P$34,A54)</f>
        <v>68000.0</v>
      </c>
      <c r="D54"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Data'!$P$2:$P$34,A54)</f>
        <v>12000.0</v>
      </c>
      <c r="E54"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Data'!$P$2:$P$34,A54)</f>
        <v>4.0</v>
      </c>
      <c r="F5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Data'!$P$2:$P$34,A54)</f>
        <v>1</v>
      </c>
      <c r="G54"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Data'!$P$2:$P$34=A54))/(COUNTIFS('Cleaned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Data'!$P$2:$P$34,A54)+1-((IF('Sales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Data'!$P$2:$P$34=A54))))</f>
        <v>1</v>
      </c>
      <c r="H54" s="15">
        <f>IFERROR(D54/B54,0)</f>
        <v>0.15</v>
      </c>
    </row>
    <row r="55" spans="1:8" ht="20" customHeight="1">
      <c r="A55" s="3" t="s">
        <v>139</v>
      </c>
      <c r="B5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Data'!$P$2:$P$34,A55)</f>
        <v>42000.0</v>
      </c>
      <c r="C5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Data'!$P$2:$P$34,A55)</f>
        <v>35000.0</v>
      </c>
      <c r="D5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Data'!$P$2:$P$34,A55)</f>
        <v>7000.0</v>
      </c>
      <c r="E5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Data'!$P$2:$P$34,A55)</f>
        <v>1.0</v>
      </c>
      <c r="F5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Data'!$P$2:$P$34,A55)</f>
        <v>1</v>
      </c>
      <c r="G5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Data'!$P$2:$P$34=A55))))</f>
        <v>1</v>
      </c>
      <c r="H55" s="15">
        <f>IFERROR(D55/B55,0)</f>
        <v>0.16666666666666666</v>
      </c>
    </row>
    <row r="56" spans="1:8" ht="20" customHeight="1">
      <c r="A56" s="3" t="s">
        <v>144</v>
      </c>
      <c r="B5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Data'!$P$2:$P$34,A56)</f>
        <v>7000.0</v>
      </c>
      <c r="C5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Data'!$P$2:$P$34,A56)</f>
        <v>4000.0</v>
      </c>
      <c r="D5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Data'!$P$2:$P$34,A56)</f>
        <v>3000.0</v>
      </c>
      <c r="E5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Data'!$P$2:$P$34,A56)</f>
        <v>10.0</v>
      </c>
      <c r="F5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Data'!$P$2:$P$34,A56)</f>
        <v>1</v>
      </c>
      <c r="G5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Data'!$P$2:$P$34=A56))))</f>
        <v>1</v>
      </c>
      <c r="H56" s="15">
        <f>IFERROR(D56/B56,0)</f>
        <v>0.42857142857142855</v>
      </c>
    </row>
    <row r="57" spans="1:8" ht="20" customHeight="1">
      <c r="A57" s="3" t="s">
        <v>153</v>
      </c>
      <c r="B5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Data'!$P$2:$P$34,A57)</f>
        <v>63000.0</v>
      </c>
      <c r="C5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Data'!$P$2:$P$34,A57)</f>
        <v>54000.0</v>
      </c>
      <c r="D5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Data'!$P$2:$P$34,A57)</f>
        <v>9000.0</v>
      </c>
      <c r="E5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Data'!$P$2:$P$34,A57)</f>
        <v>3.0</v>
      </c>
      <c r="F5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Data'!$P$2:$P$34,A57)</f>
        <v>1</v>
      </c>
      <c r="G5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Data'!$P$2:$P$34=A57))))</f>
        <v>1</v>
      </c>
      <c r="H57" s="15">
        <f>IFERROR(D57/B57,0)</f>
        <v>0.14285714285714285</v>
      </c>
    </row>
    <row r="58" spans="1:8" ht="20" customHeight="1">
      <c r="A58" s="3" t="s">
        <v>226</v>
      </c>
      <c r="B5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Data'!$P$2:$P$34,A58)</f>
        <v>0.0</v>
      </c>
      <c r="C5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Data'!$P$2:$P$34,A58)</f>
        <v>0.0</v>
      </c>
      <c r="D5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Data'!$P$2:$P$34,A58)</f>
        <v>0.0</v>
      </c>
      <c r="E5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Data'!$P$2:$P$34,A58)</f>
        <v>0.0</v>
      </c>
      <c r="F5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Data'!$P$2:$P$34,A58)</f>
        <v>0</v>
      </c>
      <c r="G5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Data'!$P$2:$P$34=A58))))</f>
        <v>0</v>
      </c>
      <c r="H58" s="15">
        <f>IFERROR(D58/B58,0)</f>
        <v>0</v>
      </c>
    </row>
    <row r="59" spans="1:8" ht="20" customHeight="1">
      <c r="A59" s="3" t="s">
        <v>227</v>
      </c>
      <c r="B5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Data'!$P$2:$P$34,A59)</f>
        <v>0.0</v>
      </c>
      <c r="C5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Data'!$P$2:$P$34,A59)</f>
        <v>0.0</v>
      </c>
      <c r="D5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Data'!$P$2:$P$34,A59)</f>
        <v>0.0</v>
      </c>
      <c r="E5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Data'!$P$2:$P$34,A59)</f>
        <v>0.0</v>
      </c>
      <c r="F5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Data'!$P$2:$P$34,A59)</f>
        <v>0</v>
      </c>
      <c r="G5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Data'!$P$2:$P$34,A59)+1-((IF('Sales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Data'!$P$2:$P$34=A59))))</f>
        <v>0</v>
      </c>
      <c r="H59" s="15">
        <f>IFERROR(D59/B59,0)</f>
        <v>0</v>
      </c>
    </row>
    <row r="60" spans="1:8" ht="20" customHeight="1">
      <c r="A60" s="3" t="s">
        <v>228</v>
      </c>
      <c r="B6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Data'!$P$2:$P$34,A60)</f>
        <v>0.0</v>
      </c>
      <c r="C6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Data'!$P$2:$P$34,A60)</f>
        <v>0.0</v>
      </c>
      <c r="D6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Data'!$P$2:$P$34,A60)</f>
        <v>0.0</v>
      </c>
      <c r="E6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Data'!$P$2:$P$34,A60)</f>
        <v>0.0</v>
      </c>
      <c r="F6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Data'!$P$2:$P$34,A60)</f>
        <v>0</v>
      </c>
      <c r="G6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Data'!$P$2:$P$34=A60))))</f>
        <v>0</v>
      </c>
      <c r="H60" s="15">
        <f>IFERROR(D60/B60,0)</f>
        <v>0</v>
      </c>
    </row>
    <row r="61" spans="1:8" ht="20" customHeight="1">
      <c r="A61" s="3" t="s">
        <v>229</v>
      </c>
      <c r="B6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Data'!$P$2:$P$34,A61)</f>
        <v>0.0</v>
      </c>
      <c r="C6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Data'!$P$2:$P$34,A61)</f>
        <v>0.0</v>
      </c>
      <c r="D6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Data'!$P$2:$P$34,A61)</f>
        <v>0.0</v>
      </c>
      <c r="E6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Data'!$P$2:$P$34,A61)</f>
        <v>0.0</v>
      </c>
      <c r="F6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Data'!$P$2:$P$34,A61)</f>
        <v>0</v>
      </c>
      <c r="G6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Data'!$P$2:$P$34=A61))))</f>
        <v>0</v>
      </c>
      <c r="H61" s="15">
        <f>IFERROR(D61/B61,0)</f>
        <v>0</v>
      </c>
    </row>
    <row r="62" spans="1:8" ht="20" customHeight="1">
      <c r="A62" s="3" t="s">
        <v>230</v>
      </c>
      <c r="B62"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Data'!$P$2:$P$34,A62)</f>
        <v>0.0</v>
      </c>
      <c r="C62"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Data'!$P$2:$P$34,A62)</f>
        <v>0.0</v>
      </c>
      <c r="D62"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Data'!$P$2:$P$34,A62)</f>
        <v>0.0</v>
      </c>
      <c r="E62"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Data'!$P$2:$P$34,A62)</f>
        <v>0.0</v>
      </c>
      <c r="F62"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Data'!$P$2:$P$34,A62)</f>
        <v>0</v>
      </c>
      <c r="G62"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Data'!$P$2:$P$34=A62))/(COUNTIFS('Cleaned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Data'!$P$2:$P$34,A62)+1-((IF('Sales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Data'!$P$2:$P$34=A62))))</f>
        <v>0</v>
      </c>
      <c r="H62" s="15">
        <f>IFERROR(D62/B62,0)</f>
        <v>0</v>
      </c>
    </row>
    <row r="63" spans="1:8" ht="20" customHeight="1">
      <c r="A63" s="3" t="s">
        <v>231</v>
      </c>
      <c r="B63"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Data'!$P$2:$P$34,A63)</f>
        <v>0.0</v>
      </c>
      <c r="C63"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Data'!$P$2:$P$34,A63)</f>
        <v>0.0</v>
      </c>
      <c r="D63"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Data'!$P$2:$P$34,A63)</f>
        <v>0.0</v>
      </c>
      <c r="E63"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Data'!$P$2:$P$34,A63)</f>
        <v>0.0</v>
      </c>
      <c r="F63"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Data'!$P$2:$P$34,A63)</f>
        <v>0</v>
      </c>
      <c r="G63"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Data'!$P$2:$P$34=A63))/(COUNTIFS('Cleaned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Data'!$P$2:$P$34,A63)+1-((IF('Sales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Data'!$P$2:$P$34=A63))))</f>
        <v>0</v>
      </c>
      <c r="H63" s="15">
        <f>IFERROR(D63/B63,0)</f>
        <v>0</v>
      </c>
    </row>
    <row r="64" spans="1:8" ht="20" customHeight="1">
      <c r="A64" s="3" t="s">
        <v>232</v>
      </c>
      <c r="B64"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Data'!$P$2:$P$34,A64)</f>
        <v>0.0</v>
      </c>
      <c r="C64"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Data'!$P$2:$P$34,A64)</f>
        <v>0.0</v>
      </c>
      <c r="D64"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Data'!$P$2:$P$34,A64)</f>
        <v>0.0</v>
      </c>
      <c r="E64"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Data'!$P$2:$P$34,A64)</f>
        <v>0.0</v>
      </c>
      <c r="F6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Data'!$P$2:$P$34,A64)</f>
        <v>0</v>
      </c>
      <c r="G64"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Data'!$P$2:$P$34=A64))/(COUNTIFS('Cleaned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Data'!$P$2:$P$34,A64)+1-((IF('Sales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Data'!$P$2:$P$34=A64))))</f>
        <v>0</v>
      </c>
      <c r="H64" s="15">
        <f>IFERROR(D64/B64,0)</f>
        <v>0</v>
      </c>
    </row>
    <row r="65" spans="1:8" ht="20" customHeight="1">
      <c r="A65" s="3" t="s">
        <v>233</v>
      </c>
      <c r="B6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Data'!$P$2:$P$34,A65)</f>
        <v>0.0</v>
      </c>
      <c r="C6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Data'!$P$2:$P$34,A65)</f>
        <v>0.0</v>
      </c>
      <c r="D6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Data'!$P$2:$P$34,A65)</f>
        <v>0.0</v>
      </c>
      <c r="E6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Data'!$P$2:$P$34,A65)</f>
        <v>0.0</v>
      </c>
      <c r="F6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Data'!$P$2:$P$34,A65)</f>
        <v>0</v>
      </c>
      <c r="G6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Data'!$P$2:$P$34=A65))))</f>
        <v>0</v>
      </c>
      <c r="H65" s="15">
        <f>IFERROR(D65/B65,0)</f>
        <v>0</v>
      </c>
    </row>
    <row r="66" spans="1:8" ht="20" customHeight="1">
      <c r="A66" s="3" t="s">
        <v>116</v>
      </c>
      <c r="B6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Data'!$P$2:$P$34,A66)</f>
        <v>291500.0</v>
      </c>
      <c r="C6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Data'!$P$2:$P$34,A66)</f>
        <v>241000.0</v>
      </c>
      <c r="D6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Data'!$P$2:$P$34,A66)</f>
        <v>50500.0</v>
      </c>
      <c r="E6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Data'!$P$2:$P$34,A66)</f>
        <v>25.0</v>
      </c>
      <c r="F6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Data'!$P$2:$P$34,A66)</f>
        <v>9</v>
      </c>
      <c r="G6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Data'!$P$2:$P$34=A66))))</f>
        <v>7</v>
      </c>
      <c r="H66" s="15">
        <f>IFERROR(D66/B66,0)</f>
        <v>0.1732418524871355</v>
      </c>
    </row>
    <row r="67" spans="1:8" ht="20" customHeight="1">
      <c r="A67" s="3" t="s">
        <v>130</v>
      </c>
      <c r="B6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Data'!$P$2:$P$34,A67)</f>
        <v>146000.0</v>
      </c>
      <c r="C6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Data'!$P$2:$P$34,A67)</f>
        <v>115000.0</v>
      </c>
      <c r="D6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Data'!$P$2:$P$34,A67)</f>
        <v>31000.0</v>
      </c>
      <c r="E6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Data'!$P$2:$P$34,A67)</f>
        <v>15.0</v>
      </c>
      <c r="F6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Data'!$P$2:$P$34,A67)</f>
        <v>6</v>
      </c>
      <c r="G6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Data'!$P$2:$P$34=A67))))</f>
        <v>6</v>
      </c>
      <c r="H67" s="15">
        <f>IFERROR(D67/B67,0)</f>
        <v>0.21232876712328766</v>
      </c>
    </row>
    <row r="68" spans="1:8" ht="20" customHeight="1">
      <c r="A68" s="3" t="s">
        <v>137</v>
      </c>
      <c r="B6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Data'!$P$2:$P$34,A68)</f>
        <v>175000.0</v>
      </c>
      <c r="C6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Data'!$P$2:$P$34,A68)</f>
        <v>147500.0</v>
      </c>
      <c r="D6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Data'!$P$2:$P$34,A68)</f>
        <v>27500.0</v>
      </c>
      <c r="E6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Data'!$P$2:$P$34,A68)</f>
        <v>12.0</v>
      </c>
      <c r="F6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Data'!$P$2:$P$34,A68)</f>
        <v>5</v>
      </c>
      <c r="G6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Data'!$P$2:$P$34=A68))))</f>
        <v>5</v>
      </c>
      <c r="H68" s="15">
        <f>IFERROR(D68/B68,0)</f>
        <v>0.15714285714285714</v>
      </c>
    </row>
    <row r="69" spans="1:8" ht="20" customHeight="1">
      <c r="A69" s="3" t="s">
        <v>146</v>
      </c>
      <c r="B6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Data'!$P$2:$P$34,A69)</f>
        <v>165500.0</v>
      </c>
      <c r="C6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Data'!$P$2:$P$34,A69)</f>
        <v>130000.0</v>
      </c>
      <c r="D6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Data'!$P$2:$P$34,A69)</f>
        <v>35500.0</v>
      </c>
      <c r="E6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Data'!$P$2:$P$34,A69)</f>
        <v>19.0</v>
      </c>
      <c r="F6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Data'!$P$2:$P$34,A69)</f>
        <v>7</v>
      </c>
      <c r="G6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Data'!$P$2:$P$34,A69)+1-((IF('Sales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Data'!$P$2:$P$34=A69))))</f>
        <v>7</v>
      </c>
      <c r="H69" s="15">
        <f>IFERROR(D69/B69,0)</f>
        <v>0.21450151057401812</v>
      </c>
    </row>
    <row r="70" spans="1:8" ht="20" customHeight="1">
      <c r="A70" s="3" t="s">
        <v>234</v>
      </c>
      <c r="B7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Data'!$P$2:$P$34,A70)</f>
        <v>0.0</v>
      </c>
      <c r="C7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Data'!$P$2:$P$34,A70)</f>
        <v>0.0</v>
      </c>
      <c r="D7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Data'!$P$2:$P$34,A70)</f>
        <v>0.0</v>
      </c>
      <c r="E7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Data'!$P$2:$P$34,A70)</f>
        <v>0.0</v>
      </c>
      <c r="F7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Data'!$P$2:$P$34,A70)</f>
        <v>0</v>
      </c>
      <c r="G7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Data'!$P$2:$P$34=A70))))</f>
        <v>0</v>
      </c>
      <c r="H70" s="15">
        <f>IFERROR(D70/B70,0)</f>
        <v>0</v>
      </c>
    </row>
    <row r="71" spans="1:8" ht="20" customHeight="1">
      <c r="A71" s="3" t="s">
        <v>235</v>
      </c>
      <c r="B7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Data'!$P$2:$P$34,A71)</f>
        <v>0.0</v>
      </c>
      <c r="C7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Data'!$P$2:$P$34,A71)</f>
        <v>0.0</v>
      </c>
      <c r="D7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Data'!$P$2:$P$34,A71)</f>
        <v>0.0</v>
      </c>
      <c r="E7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Data'!$P$2:$P$34,A71)</f>
        <v>0.0</v>
      </c>
      <c r="F7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Data'!$P$2:$P$34,A71)</f>
        <v>0</v>
      </c>
      <c r="G7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Data'!$P$2:$P$34=A71))))</f>
        <v>0</v>
      </c>
      <c r="H71" s="15">
        <f>IFERROR(D71/B71,0)</f>
        <v>0</v>
      </c>
    </row>
    <row r="72" spans="1:8" ht="20" customHeight="1">
      <c r="A72" s="3" t="s">
        <v>236</v>
      </c>
      <c r="B72"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Data'!$P$2:$P$34,A72)</f>
        <v>0.0</v>
      </c>
      <c r="C72"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Data'!$P$2:$P$34,A72)</f>
        <v>0.0</v>
      </c>
      <c r="D72"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Data'!$P$2:$P$34,A72)</f>
        <v>0.0</v>
      </c>
      <c r="E72"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Data'!$P$2:$P$34,A72)</f>
        <v>0.0</v>
      </c>
      <c r="F72"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Data'!$P$2:$P$34,A72)</f>
        <v>0</v>
      </c>
      <c r="G72"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Data'!$P$2:$P$34=A72))/(COUNTIFS('Cleaned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Data'!$P$2:$P$34,A72)+1-((IF('Sales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Data'!$P$2:$P$34=A72))))</f>
        <v>0</v>
      </c>
      <c r="H72" s="15">
        <f>IFERROR(D72/B72,0)</f>
        <v>0</v>
      </c>
    </row>
    <row r="73" spans="1:8" ht="20" customHeight="1">
      <c r="A73" s="3" t="s">
        <v>237</v>
      </c>
      <c r="B73"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Data'!$P$2:$P$34,A73)</f>
        <v>0.0</v>
      </c>
      <c r="C73"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Data'!$P$2:$P$34,A73)</f>
        <v>0.0</v>
      </c>
      <c r="D73"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Data'!$P$2:$P$34,A73)</f>
        <v>0.0</v>
      </c>
      <c r="E73"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Data'!$P$2:$P$34,A73)</f>
        <v>0.0</v>
      </c>
      <c r="F73"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Data'!$P$2:$P$34,A73)</f>
        <v>0</v>
      </c>
      <c r="G73"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Data'!$P$2:$P$34=A73))/(COUNTIFS('Cleaned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Data'!$P$2:$P$34,A73)+1-((IF('Sales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Data'!$P$2:$P$34=A73))))</f>
        <v>0</v>
      </c>
      <c r="H73" s="15">
        <f>IFERROR(D73/B73,0)</f>
        <v>0</v>
      </c>
    </row>
    <row r="74" spans="1:8" ht="20" customHeight="1">
      <c r="A74" s="3" t="s">
        <v>238</v>
      </c>
      <c r="B74"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Data'!$P$2:$P$34,A74)</f>
        <v>0.0</v>
      </c>
      <c r="C74"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Data'!$P$2:$P$34,A74)</f>
        <v>0.0</v>
      </c>
      <c r="D74"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Data'!$P$2:$P$34,A74)</f>
        <v>0.0</v>
      </c>
      <c r="E74"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Data'!$P$2:$P$34,A74)</f>
        <v>0.0</v>
      </c>
      <c r="F7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Data'!$P$2:$P$34,A74)</f>
        <v>0</v>
      </c>
      <c r="G74"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Data'!$P$2:$P$34=A74))/(COUNTIFS('Cleaned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Data'!$P$2:$P$34,A74)+1-((IF('Sales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Data'!$P$2:$P$34=A74))))</f>
        <v>0</v>
      </c>
      <c r="H74" s="15">
        <f>IFERROR(D74/B74,0)</f>
        <v>0</v>
      </c>
    </row>
    <row r="75" spans="1:8" ht="20" customHeight="1">
      <c r="A75" s="3" t="s">
        <v>239</v>
      </c>
      <c r="B7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Data'!$P$2:$P$34,A75)</f>
        <v>0.0</v>
      </c>
      <c r="C7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Data'!$P$2:$P$34,A75)</f>
        <v>0.0</v>
      </c>
      <c r="D7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Data'!$P$2:$P$34,A75)</f>
        <v>0.0</v>
      </c>
      <c r="E7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Data'!$P$2:$P$34,A75)</f>
        <v>0.0</v>
      </c>
      <c r="F7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Data'!$P$2:$P$34,A75)</f>
        <v>0</v>
      </c>
      <c r="G7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Data'!$P$2:$P$34=A75))))</f>
        <v>0</v>
      </c>
      <c r="H75" s="15">
        <f>IFERROR(D75/B75,0)</f>
        <v>0</v>
      </c>
    </row>
    <row r="76" spans="1:8" ht="20" customHeight="1">
      <c r="A76" s="3" t="s">
        <v>240</v>
      </c>
      <c r="B7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Data'!$P$2:$P$34,A76)</f>
        <v>0.0</v>
      </c>
      <c r="C7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Data'!$P$2:$P$34,A76)</f>
        <v>0.0</v>
      </c>
      <c r="D7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Data'!$P$2:$P$34,A76)</f>
        <v>0.0</v>
      </c>
      <c r="E7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Data'!$P$2:$P$34,A76)</f>
        <v>0.0</v>
      </c>
      <c r="F7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Data'!$P$2:$P$34,A76)</f>
        <v>0</v>
      </c>
      <c r="G7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Data'!$P$2:$P$34=A76))))</f>
        <v>0</v>
      </c>
      <c r="H76" s="15">
        <f>IFERROR(D76/B76,0)</f>
        <v>0</v>
      </c>
    </row>
    <row r="77" spans="1:8" ht="20" customHeight="1">
      <c r="A77" s="3" t="s">
        <v>241</v>
      </c>
      <c r="B7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Data'!$P$2:$P$34,A77)</f>
        <v>0.0</v>
      </c>
      <c r="C7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Data'!$P$2:$P$34,A77)</f>
        <v>0.0</v>
      </c>
      <c r="D7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Data'!$P$2:$P$34,A77)</f>
        <v>0.0</v>
      </c>
      <c r="E7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Data'!$P$2:$P$34,A77)</f>
        <v>0.0</v>
      </c>
      <c r="F7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Data'!$P$2:$P$34,A77)</f>
        <v>0</v>
      </c>
      <c r="G7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Data'!$P$2:$P$34=A77))))</f>
        <v>0</v>
      </c>
      <c r="H77" s="15">
        <f>IFERROR(D77/B77,0)</f>
        <v>0</v>
      </c>
    </row>
    <row r="78" spans="1:8" ht="20" customHeight="1">
      <c r="A78" s="3" t="s">
        <v>125</v>
      </c>
      <c r="B7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Data'!$P$2:$P$34,A78)</f>
        <v>7200.0</v>
      </c>
      <c r="C7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Data'!$P$2:$P$34,A78)</f>
        <v>4000.0</v>
      </c>
      <c r="D7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Data'!$P$2:$P$34,A78)</f>
        <v>3200.0</v>
      </c>
      <c r="E7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Data'!$P$2:$P$34,A78)</f>
        <v>6.0</v>
      </c>
      <c r="F7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Data'!$P$2:$P$34,A78)</f>
        <v>1</v>
      </c>
      <c r="G7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Data'!$P$2:$P$34=A78))))</f>
        <v>1</v>
      </c>
      <c r="H78" s="15">
        <f>IFERROR(D78/B78,0)</f>
        <v>0.4444444444444444</v>
      </c>
    </row>
    <row r="79" spans="1:8" ht="20" customHeight="1">
      <c r="A79" s="3" t="s">
        <v>128</v>
      </c>
      <c r="B7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Data'!$P$2:$P$34,A79)</f>
        <v>60000.0</v>
      </c>
      <c r="C7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Data'!$P$2:$P$34,A79)</f>
        <v>52000.0</v>
      </c>
      <c r="D7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Data'!$P$2:$P$34,A79)</f>
        <v>8000.0</v>
      </c>
      <c r="E7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Data'!$P$2:$P$34,A79)</f>
        <v>1.0</v>
      </c>
      <c r="F7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Data'!$P$2:$P$34,A79)</f>
        <v>1</v>
      </c>
      <c r="G7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Data'!$P$2:$P$34,A79)+1-((IF('Sales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Data'!$P$2:$P$34=A79))))</f>
        <v>1</v>
      </c>
      <c r="H79" s="15">
        <f>IFERROR(D79/B79,0)</f>
        <v>0.13333333333333333</v>
      </c>
    </row>
    <row r="83" spans="1:8" ht="20" customHeight="1">
      <c r="A83" s="11" t="s">
        <v>242</v>
      </c>
      <c r="B83" s="11"/>
      <c r="C83" s="11"/>
      <c r="D83" s="11"/>
      <c r="E83" s="11"/>
      <c r="F83" s="11"/>
      <c r="G83" s="11"/>
      <c r="H83" s="11"/>
    </row>
    <row r="84" spans="1:8" ht="20" customHeight="1">
      <c r="A84" s="13" t="s">
        <v>113</v>
      </c>
      <c r="B84" s="13" t="s">
        <v>10</v>
      </c>
      <c r="C84" s="13" t="s">
        <v>11</v>
      </c>
      <c r="D84" s="13" t="s">
        <v>12</v>
      </c>
      <c r="E84" s="13" t="s">
        <v>8</v>
      </c>
      <c r="F84" s="13" t="s">
        <v>220</v>
      </c>
      <c r="G84" s="13" t="s">
        <v>221</v>
      </c>
      <c r="H84" s="13" t="s">
        <v>222</v>
      </c>
    </row>
    <row r="85" spans="1:8" ht="20" customHeight="1">
      <c r="A85" s="3" t="s">
        <v>124</v>
      </c>
      <c r="B8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Data'!$Q$2:$Q$34,A85)</f>
        <v>160000.0</v>
      </c>
      <c r="C8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Data'!$Q$2:$Q$34,A85)</f>
        <v>136000.0</v>
      </c>
      <c r="D8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Data'!$Q$2:$Q$34,A85)</f>
        <v>24000.0</v>
      </c>
      <c r="E8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Data'!$Q$2:$Q$34,A85)</f>
        <v>8.0</v>
      </c>
      <c r="F8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Data'!$Q$2:$Q$34,A85)</f>
        <v>2</v>
      </c>
      <c r="G8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Data'!$Q$2:$Q$34=A85))))</f>
        <v>1</v>
      </c>
      <c r="H85" s="15">
        <f>IFERROR(D85/B85,0)</f>
        <v>0.15</v>
      </c>
    </row>
    <row r="86" spans="1:8" ht="20" customHeight="1">
      <c r="A86" s="3" t="s">
        <v>117</v>
      </c>
      <c r="B8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Data'!$Q$2:$Q$34,A86)</f>
        <v>117200.0</v>
      </c>
      <c r="C8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Data'!$Q$2:$Q$34,A86)</f>
        <v>99000.0</v>
      </c>
      <c r="D8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Data'!$Q$2:$Q$34,A86)</f>
        <v>18200.0</v>
      </c>
      <c r="E8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Data'!$Q$2:$Q$34,A86)</f>
        <v>8.0</v>
      </c>
      <c r="F8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Data'!$Q$2:$Q$34,A86)</f>
        <v>2</v>
      </c>
      <c r="G8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Data'!$Q$2:$Q$34=A86))))</f>
        <v>2</v>
      </c>
      <c r="H86" s="15">
        <f>IFERROR(D86/B86,0)</f>
        <v>0.1552901023890785</v>
      </c>
    </row>
    <row r="87" spans="1:8" ht="20" customHeight="1">
      <c r="A87" s="3" t="s">
        <v>143</v>
      </c>
      <c r="B8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Data'!$Q$2:$Q$34,A87)</f>
        <v>65000.0</v>
      </c>
      <c r="C8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Data'!$Q$2:$Q$34,A87)</f>
        <v>58000.0</v>
      </c>
      <c r="D8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Data'!$Q$2:$Q$34,A87)</f>
        <v>7000.0</v>
      </c>
      <c r="E8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Data'!$Q$2:$Q$34,A87)</f>
        <v>1.0</v>
      </c>
      <c r="F8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Data'!$Q$2:$Q$34,A87)</f>
        <v>1</v>
      </c>
      <c r="G8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Data'!$Q$2:$Q$34=A87))))</f>
        <v>1</v>
      </c>
      <c r="H87" s="15">
        <f>IFERROR(D87/B87,0)</f>
        <v>0.1076923076923077</v>
      </c>
    </row>
    <row r="88" spans="1:8" ht="20" customHeight="1">
      <c r="A88" s="3" t="s">
        <v>154</v>
      </c>
      <c r="B8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Data'!$Q$2:$Q$34,A88)</f>
        <v>63000.0</v>
      </c>
      <c r="C8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Data'!$Q$2:$Q$34,A88)</f>
        <v>54000.0</v>
      </c>
      <c r="D8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Data'!$Q$2:$Q$34,A88)</f>
        <v>9000.0</v>
      </c>
      <c r="E8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Data'!$Q$2:$Q$34,A88)</f>
        <v>3.0</v>
      </c>
      <c r="F8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Data'!$Q$2:$Q$34,A88)</f>
        <v>1</v>
      </c>
      <c r="G8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Data'!$Q$2:$Q$34=A88))))</f>
        <v>1</v>
      </c>
      <c r="H88" s="15">
        <f>IFERROR(D88/B88,0)</f>
        <v>0.14285714285714285</v>
      </c>
    </row>
    <row r="89" spans="1:8" ht="20" customHeight="1">
      <c r="A89" s="3" t="s">
        <v>129</v>
      </c>
      <c r="B8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Data'!$Q$2:$Q$34,A89)</f>
        <v>60000.0</v>
      </c>
      <c r="C8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Data'!$Q$2:$Q$34,A89)</f>
        <v>52000.0</v>
      </c>
      <c r="D8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Data'!$Q$2:$Q$34,A89)</f>
        <v>8000.0</v>
      </c>
      <c r="E8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Data'!$Q$2:$Q$34,A89)</f>
        <v>1.0</v>
      </c>
      <c r="F8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Data'!$Q$2:$Q$34,A89)</f>
        <v>1</v>
      </c>
      <c r="G8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Data'!$Q$2:$Q$34,A89)+1-((IF('Sales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Data'!$Q$2:$Q$34=A89))))</f>
        <v>1</v>
      </c>
      <c r="H89" s="15">
        <f>IFERROR(D89/B89,0)</f>
        <v>0.13333333333333333</v>
      </c>
    </row>
    <row r="90" spans="1:8" ht="20" customHeight="1">
      <c r="A90" s="3" t="s">
        <v>135</v>
      </c>
      <c r="B9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Data'!$Q$2:$Q$34,A90)</f>
        <v>54000.0</v>
      </c>
      <c r="C9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Data'!$Q$2:$Q$34,A90)</f>
        <v>45000.0</v>
      </c>
      <c r="D9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Data'!$Q$2:$Q$34,A90)</f>
        <v>9000.0</v>
      </c>
      <c r="E9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Data'!$Q$2:$Q$34,A90)</f>
        <v>3.0</v>
      </c>
      <c r="F9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Data'!$Q$2:$Q$34,A90)</f>
        <v>1</v>
      </c>
      <c r="G9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Data'!$Q$2:$Q$34=A90))))</f>
        <v>1</v>
      </c>
      <c r="H90" s="15">
        <f>IFERROR(D90/B90,0)</f>
        <v>0.16666666666666666</v>
      </c>
    </row>
    <row r="91" spans="1:8" ht="20" customHeight="1">
      <c r="A91" s="3" t="s">
        <v>152</v>
      </c>
      <c r="B9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Data'!$Q$2:$Q$34,A91)</f>
        <v>45000.0</v>
      </c>
      <c r="C9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Data'!$Q$2:$Q$34,A91)</f>
        <v>38000.0</v>
      </c>
      <c r="D9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Data'!$Q$2:$Q$34,A91)</f>
        <v>7000.0</v>
      </c>
      <c r="E9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Data'!$Q$2:$Q$34,A91)</f>
        <v>1.0</v>
      </c>
      <c r="F9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Data'!$Q$2:$Q$34,A91)</f>
        <v>1</v>
      </c>
      <c r="G9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Data'!$Q$2:$Q$34=A91))))</f>
        <v>1</v>
      </c>
      <c r="H91" s="15">
        <f>IFERROR(D91/B91,0)</f>
        <v>0.15555555555555556</v>
      </c>
    </row>
    <row r="92" spans="1:8" ht="20" customHeight="1">
      <c r="A92" s="3" t="s">
        <v>138</v>
      </c>
      <c r="B92"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Data'!$Q$2:$Q$34,A92)</f>
        <v>44000.0</v>
      </c>
      <c r="C92"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Data'!$Q$2:$Q$34,A92)</f>
        <v>37000.0</v>
      </c>
      <c r="D92"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Data'!$Q$2:$Q$34,A92)</f>
        <v>7000.0</v>
      </c>
      <c r="E92"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Data'!$Q$2:$Q$34,A92)</f>
        <v>2.0</v>
      </c>
      <c r="F92"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Data'!$Q$2:$Q$34,A92)</f>
        <v>1</v>
      </c>
      <c r="G92"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Data'!$Q$2:$Q$34=A92))/(COUNTIFS('Cleaned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Data'!$Q$2:$Q$34,A92)+1-((IF('Sales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Data'!$Q$2:$Q$34=A92))))</f>
        <v>1</v>
      </c>
      <c r="H92" s="15">
        <f>IFERROR(D92/B92,0)</f>
        <v>0.1590909090909091</v>
      </c>
    </row>
    <row r="93" spans="1:8" ht="20" customHeight="1">
      <c r="A93" s="3" t="s">
        <v>140</v>
      </c>
      <c r="B93"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Data'!$Q$2:$Q$34,A93)</f>
        <v>42000.0</v>
      </c>
      <c r="C93"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Data'!$Q$2:$Q$34,A93)</f>
        <v>35000.0</v>
      </c>
      <c r="D93"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Data'!$Q$2:$Q$34,A93)</f>
        <v>7000.0</v>
      </c>
      <c r="E93"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Data'!$Q$2:$Q$34,A93)</f>
        <v>1.0</v>
      </c>
      <c r="F93"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Data'!$Q$2:$Q$34,A93)</f>
        <v>1</v>
      </c>
      <c r="G93"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Data'!$Q$2:$Q$34=A93))/(COUNTIFS('Cleaned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Data'!$Q$2:$Q$34,A93)+1-((IF('Sales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Data'!$Q$2:$Q$34=A93))))</f>
        <v>1</v>
      </c>
      <c r="H93" s="15">
        <f>IFERROR(D93/B93,0)</f>
        <v>0.16666666666666666</v>
      </c>
    </row>
    <row r="94" spans="1:8" ht="20" customHeight="1">
      <c r="A94" s="3" t="s">
        <v>141</v>
      </c>
      <c r="B94"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Data'!$Q$2:$Q$34,A94)</f>
        <v>42000.0</v>
      </c>
      <c r="C94"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Data'!$Q$2:$Q$34,A94)</f>
        <v>35000.0</v>
      </c>
      <c r="D94"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Data'!$Q$2:$Q$34,A94)</f>
        <v>7000.0</v>
      </c>
      <c r="E94"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Data'!$Q$2:$Q$34,A94)</f>
        <v>3.0</v>
      </c>
      <c r="F9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Data'!$Q$2:$Q$34,A94)</f>
        <v>1</v>
      </c>
      <c r="G94"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Data'!$Q$2:$Q$34=A94))/(COUNTIFS('Cleaned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Data'!$Q$2:$Q$34,A94)+1-((IF('Sales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Data'!$Q$2:$Q$34=A94))))</f>
        <v>1</v>
      </c>
      <c r="H94" s="15">
        <f>IFERROR(D94/B94,0)</f>
        <v>0.16666666666666666</v>
      </c>
    </row>
    <row r="95" spans="1:8" ht="20" customHeight="1">
      <c r="A95" s="3" t="s">
        <v>150</v>
      </c>
      <c r="B9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Data'!$Q$2:$Q$34,A95)</f>
        <v>38000.0</v>
      </c>
      <c r="C9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Data'!$Q$2:$Q$34,A95)</f>
        <v>32000.0</v>
      </c>
      <c r="D9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Data'!$Q$2:$Q$34,A95)</f>
        <v>6000.0</v>
      </c>
      <c r="E9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Data'!$Q$2:$Q$34,A95)</f>
        <v>2.0</v>
      </c>
      <c r="F9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Data'!$Q$2:$Q$34,A95)</f>
        <v>1</v>
      </c>
      <c r="G9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Data'!$Q$2:$Q$34=A95))))</f>
        <v>1</v>
      </c>
      <c r="H95" s="15">
        <f>IFERROR(D95/B95,0)</f>
        <v>0.15789473684210525</v>
      </c>
    </row>
    <row r="96" spans="1:8" ht="20" customHeight="1">
      <c r="A96" s="3" t="s">
        <v>126</v>
      </c>
      <c r="B9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Data'!$Q$2:$Q$34,A96)</f>
        <v>35000.0</v>
      </c>
      <c r="C9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Data'!$Q$2:$Q$34,A96)</f>
        <v>28000.0</v>
      </c>
      <c r="D9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Data'!$Q$2:$Q$34,A96)</f>
        <v>7000.0</v>
      </c>
      <c r="E9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Data'!$Q$2:$Q$34,A96)</f>
        <v>1.0</v>
      </c>
      <c r="F9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Data'!$Q$2:$Q$34,A96)</f>
        <v>1</v>
      </c>
      <c r="G9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Data'!$Q$2:$Q$34=A96))))</f>
        <v>1</v>
      </c>
      <c r="H96" s="15">
        <f>IFERROR(D96/B96,0)</f>
        <v>0.2</v>
      </c>
    </row>
    <row r="97" spans="1:8" ht="20" customHeight="1">
      <c r="A97" s="3" t="s">
        <v>121</v>
      </c>
      <c r="B9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Data'!$Q$2:$Q$34,A97)</f>
        <v>33000.0</v>
      </c>
      <c r="C9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Data'!$Q$2:$Q$34,A97)</f>
        <v>21500.0</v>
      </c>
      <c r="D9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Data'!$Q$2:$Q$34,A97)</f>
        <v>11500.0</v>
      </c>
      <c r="E9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Data'!$Q$2:$Q$34,A97)</f>
        <v>10.0</v>
      </c>
      <c r="F9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Data'!$Q$2:$Q$34,A97)</f>
        <v>3</v>
      </c>
      <c r="G9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Data'!$Q$2:$Q$34=A97))))</f>
        <v>2</v>
      </c>
      <c r="H97" s="15">
        <f>IFERROR(D97/B97,0)</f>
        <v>0.3484848484848485</v>
      </c>
    </row>
    <row r="98" spans="1:8" ht="20" customHeight="1">
      <c r="A98" s="3" t="s">
        <v>132</v>
      </c>
      <c r="B9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Data'!$Q$2:$Q$34,A98)</f>
        <v>30000.0</v>
      </c>
      <c r="C9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Data'!$Q$2:$Q$34,A98)</f>
        <v>25000.0</v>
      </c>
      <c r="D9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Data'!$Q$2:$Q$34,A98)</f>
        <v>5000.0</v>
      </c>
      <c r="E9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Data'!$Q$2:$Q$34,A98)</f>
        <v>2.0</v>
      </c>
      <c r="F9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Data'!$Q$2:$Q$34,A98)</f>
        <v>1</v>
      </c>
      <c r="G9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Data'!$Q$2:$Q$34=A98))))</f>
        <v>1</v>
      </c>
      <c r="H98" s="15">
        <f>IFERROR(D98/B98,0)</f>
        <v>0.16666666666666666</v>
      </c>
    </row>
    <row r="99" spans="1:8" ht="20" customHeight="1">
      <c r="A99" s="3" t="s">
        <v>123</v>
      </c>
      <c r="B9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Data'!$Q$2:$Q$34,A99)</f>
        <v>28000.0</v>
      </c>
      <c r="C9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Data'!$Q$2:$Q$34,A99)</f>
        <v>25000.0</v>
      </c>
      <c r="D9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Data'!$Q$2:$Q$34,A99)</f>
        <v>3000.0</v>
      </c>
      <c r="E9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Data'!$Q$2:$Q$34,A99)</f>
        <v>4.0</v>
      </c>
      <c r="F9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Data'!$Q$2:$Q$34,A99)</f>
        <v>2</v>
      </c>
      <c r="G9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Data'!$Q$2:$Q$34,A99)+1-((IF('Sales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Data'!$Q$2:$Q$34=A99))))</f>
        <v>1</v>
      </c>
      <c r="H99" s="15">
        <f>IFERROR(D99/B99,0)</f>
        <v>0.10714285714285714</v>
      </c>
    </row>
    <row r="100" spans="1:8" ht="20" customHeight="1">
      <c r="A100" s="3" t="s">
        <v>148</v>
      </c>
      <c r="B10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Data'!$Q$2:$Q$34,A100)</f>
        <v>22000.0</v>
      </c>
      <c r="C10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Data'!$Q$2:$Q$34,A100)</f>
        <v>17000.0</v>
      </c>
      <c r="D10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Data'!$Q$2:$Q$34,A100)</f>
        <v>5000.0</v>
      </c>
      <c r="E10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Data'!$Q$2:$Q$34,A100)</f>
        <v>2.0</v>
      </c>
      <c r="F10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Data'!$Q$2:$Q$34,A100)</f>
        <v>1</v>
      </c>
      <c r="G10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Data'!$Q$2:$Q$34=A100))))</f>
        <v>1</v>
      </c>
      <c r="H100" s="15">
        <f>IFERROR(D100/B100,0)</f>
        <v>0.22727272727272727</v>
      </c>
    </row>
    <row r="101" spans="1:8" ht="20" customHeight="1">
      <c r="A101" s="3" t="s">
        <v>147</v>
      </c>
      <c r="B10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Data'!$Q$2:$Q$34,A101)</f>
        <v>21000.0</v>
      </c>
      <c r="C10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Data'!$Q$2:$Q$34,A101)</f>
        <v>16000.0</v>
      </c>
      <c r="D10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Data'!$Q$2:$Q$34,A101)</f>
        <v>5000.0</v>
      </c>
      <c r="E10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Data'!$Q$2:$Q$34,A101)</f>
        <v>6.0</v>
      </c>
      <c r="F10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Data'!$Q$2:$Q$34,A101)</f>
        <v>1</v>
      </c>
      <c r="G10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Data'!$Q$2:$Q$34=A101))))</f>
        <v>1</v>
      </c>
      <c r="H101" s="15">
        <f>IFERROR(D101/B101,0)</f>
        <v>0.23809523809523808</v>
      </c>
    </row>
    <row r="102" spans="1:8" ht="20" customHeight="1">
      <c r="A102" s="3" t="s">
        <v>136</v>
      </c>
      <c r="B102"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Data'!$Q$2:$Q$34,A102)</f>
        <v>20000.0</v>
      </c>
      <c r="C102"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Data'!$Q$2:$Q$34,A102)</f>
        <v>15000.0</v>
      </c>
      <c r="D102"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Data'!$Q$2:$Q$34,A102)</f>
        <v>5000.0</v>
      </c>
      <c r="E102"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Data'!$Q$2:$Q$34,A102)</f>
        <v>5.0</v>
      </c>
      <c r="F102"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Data'!$Q$2:$Q$34,A102)</f>
        <v>1</v>
      </c>
      <c r="G102"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Data'!$Q$2:$Q$34=A102))/(COUNTIFS('Cleaned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Data'!$Q$2:$Q$34,A102)+1-((IF('Sales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Data'!$Q$2:$Q$34=A102))))</f>
        <v>1</v>
      </c>
      <c r="H102" s="15">
        <f>IFERROR(D102/B102,0)</f>
        <v>0.25</v>
      </c>
    </row>
    <row r="103" spans="1:8" ht="20" customHeight="1">
      <c r="A103" s="3" t="s">
        <v>142</v>
      </c>
      <c r="B103"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Data'!$Q$2:$Q$34,A103)</f>
        <v>18000.0</v>
      </c>
      <c r="C103"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Data'!$Q$2:$Q$34,A103)</f>
        <v>14000.0</v>
      </c>
      <c r="D103"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Data'!$Q$2:$Q$34,A103)</f>
        <v>4000.0</v>
      </c>
      <c r="E103"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Data'!$Q$2:$Q$34,A103)</f>
        <v>2.0</v>
      </c>
      <c r="F103"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Data'!$Q$2:$Q$34,A103)</f>
        <v>1</v>
      </c>
      <c r="G103"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Data'!$Q$2:$Q$34=A103))/(COUNTIFS('Cleaned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Data'!$Q$2:$Q$34,A103)+1-((IF('Sales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Data'!$Q$2:$Q$34=A103))))</f>
        <v>1</v>
      </c>
      <c r="H103" s="15">
        <f>IFERROR(D103/B103,0)</f>
        <v>0.2222222222222222</v>
      </c>
    </row>
    <row r="104" spans="1:8" ht="20" customHeight="1">
      <c r="A104" s="3" t="s">
        <v>131</v>
      </c>
      <c r="B104"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Data'!$Q$2:$Q$34,A104)</f>
        <v>17000.0</v>
      </c>
      <c r="C104"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Data'!$Q$2:$Q$34,A104)</f>
        <v>12000.0</v>
      </c>
      <c r="D104"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Data'!$Q$2:$Q$34,A104)</f>
        <v>5000.0</v>
      </c>
      <c r="E104"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Data'!$Q$2:$Q$34,A104)</f>
        <v>2.0</v>
      </c>
      <c r="F104"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Data'!$Q$2:$Q$34,A104)</f>
        <v>1</v>
      </c>
      <c r="G104"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Data'!$Q$2:$Q$34=A104))/(COUNTIFS('Cleaned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Data'!$Q$2:$Q$34,A104)+1-((IF('Sales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Data'!$Q$2:$Q$34=A104))))</f>
        <v>1</v>
      </c>
      <c r="H104" s="15">
        <f>IFERROR(D104/B104,0)</f>
        <v>0.29411764705882354</v>
      </c>
    </row>
    <row r="105" spans="1:8" ht="20" customHeight="1">
      <c r="A105" s="3" t="s">
        <v>119</v>
      </c>
      <c r="B105"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Data'!$Q$2:$Q$34,A105)</f>
        <v>16000.0</v>
      </c>
      <c r="C105"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Data'!$Q$2:$Q$34,A105)</f>
        <v>11500.0</v>
      </c>
      <c r="D105"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Data'!$Q$2:$Q$34,A105)</f>
        <v>4500.0</v>
      </c>
      <c r="E105"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Data'!$Q$2:$Q$34,A105)</f>
        <v>6.0</v>
      </c>
      <c r="F105"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Data'!$Q$2:$Q$34,A105)</f>
        <v>2</v>
      </c>
      <c r="G105"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Data'!$Q$2:$Q$34=A105))/(COUNTIFS('Cleaned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Data'!$Q$2:$Q$34,A105)+1-((IF('Sales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Data'!$Q$2:$Q$34=A105))))</f>
        <v>2</v>
      </c>
      <c r="H105" s="15">
        <f>IFERROR(D105/B105,0)</f>
        <v>0.28125</v>
      </c>
    </row>
    <row r="106" spans="1:8" ht="20" customHeight="1">
      <c r="A106" s="3" t="s">
        <v>155</v>
      </c>
      <c r="B106"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Data'!$Q$2:$Q$34,A106)</f>
        <v>15000.0</v>
      </c>
      <c r="C106"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Data'!$Q$2:$Q$34,A106)</f>
        <v>10000.0</v>
      </c>
      <c r="D106"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Data'!$Q$2:$Q$34,A106)</f>
        <v>5000.0</v>
      </c>
      <c r="E106"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Data'!$Q$2:$Q$34,A106)</f>
        <v>2.0</v>
      </c>
      <c r="F106"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Data'!$Q$2:$Q$34,A106)</f>
        <v>1</v>
      </c>
      <c r="G106"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Data'!$Q$2:$Q$34=A106))/(COUNTIFS('Cleaned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Data'!$Q$2:$Q$34,A106)+1-((IF('Sales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Data'!$Q$2:$Q$34=A106))))</f>
        <v>1</v>
      </c>
      <c r="H106" s="15">
        <f>IFERROR(D106/B106,0)</f>
        <v>0.3333333333333333</v>
      </c>
    </row>
    <row r="107" spans="1:8" ht="20" customHeight="1">
      <c r="A107" s="3" t="s">
        <v>151</v>
      </c>
      <c r="B107"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Data'!$Q$2:$Q$34,A107)</f>
        <v>15000.0</v>
      </c>
      <c r="C107"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Data'!$Q$2:$Q$34,A107)</f>
        <v>10000.0</v>
      </c>
      <c r="D107"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Data'!$Q$2:$Q$34,A107)</f>
        <v>5000.0</v>
      </c>
      <c r="E107"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Data'!$Q$2:$Q$34,A107)</f>
        <v>5.0</v>
      </c>
      <c r="F107"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Data'!$Q$2:$Q$34,A107)</f>
        <v>1</v>
      </c>
      <c r="G107"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Data'!$Q$2:$Q$34=A107))/(COUNTIFS('Cleaned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Data'!$Q$2:$Q$34,A107)+1-((IF('Sales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Data'!$Q$2:$Q$34=A107))))</f>
        <v>1</v>
      </c>
      <c r="H107" s="15">
        <f>IFERROR(D107/B107,0)</f>
        <v>0.3333333333333333</v>
      </c>
    </row>
    <row r="108" spans="1:8" ht="20" customHeight="1">
      <c r="A108" s="3" t="s">
        <v>134</v>
      </c>
      <c r="B108"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Data'!$Q$2:$Q$34,A108)</f>
        <v>13000.0</v>
      </c>
      <c r="C108"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Data'!$Q$2:$Q$34,A108)</f>
        <v>9000.0</v>
      </c>
      <c r="D108"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Data'!$Q$2:$Q$34,A108)</f>
        <v>4000.0</v>
      </c>
      <c r="E108"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Data'!$Q$2:$Q$34,A108)</f>
        <v>2.0</v>
      </c>
      <c r="F108"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Data'!$Q$2:$Q$34,A108)</f>
        <v>1</v>
      </c>
      <c r="G108"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Data'!$Q$2:$Q$34=A108))/(COUNTIFS('Cleaned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Data'!$Q$2:$Q$34,A108)+1-((IF('Sales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Data'!$Q$2:$Q$34=A108))))</f>
        <v>1</v>
      </c>
      <c r="H108" s="15">
        <f>IFERROR(D108/B108,0)</f>
        <v>0.3076923076923077</v>
      </c>
    </row>
    <row r="109" spans="1:8" ht="20" customHeight="1">
      <c r="A109" s="3" t="s">
        <v>149</v>
      </c>
      <c r="B109"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Data'!$Q$2:$Q$34,A109)</f>
        <v>9500.0</v>
      </c>
      <c r="C109"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Data'!$Q$2:$Q$34,A109)</f>
        <v>7000.0</v>
      </c>
      <c r="D109"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Data'!$Q$2:$Q$34,A109)</f>
        <v>2500.0</v>
      </c>
      <c r="E109"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Data'!$Q$2:$Q$34,A109)</f>
        <v>1.0</v>
      </c>
      <c r="F109"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Data'!$Q$2:$Q$34,A109)</f>
        <v>1</v>
      </c>
      <c r="G109"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Data'!$Q$2:$Q$34=A109))/(COUNTIFS('Cleaned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Data'!$Q$2:$Q$34,A109)+1-((IF('Sales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Data'!$Q$2:$Q$34=A109))))</f>
        <v>1</v>
      </c>
      <c r="H109" s="15">
        <f>IFERROR(D109/B109,0)</f>
        <v>0.2631578947368421</v>
      </c>
    </row>
    <row r="110" spans="1:8" ht="20" customHeight="1">
      <c r="A110" s="3" t="s">
        <v>127</v>
      </c>
      <c r="B110"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Data'!$Q$2:$Q$34,A110)</f>
        <v>7500.0</v>
      </c>
      <c r="C110"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Data'!$Q$2:$Q$34,A110)</f>
        <v>4500.0</v>
      </c>
      <c r="D110"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Data'!$Q$2:$Q$34,A110)</f>
        <v>3000.0</v>
      </c>
      <c r="E110"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Data'!$Q$2:$Q$34,A110)</f>
        <v>3.0</v>
      </c>
      <c r="F110"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Data'!$Q$2:$Q$34,A110)</f>
        <v>1</v>
      </c>
      <c r="G110"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Data'!$Q$2:$Q$34=A110))/(COUNTIFS('Cleaned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Data'!$Q$2:$Q$34,A110)+1-((IF('Sales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Data'!$Q$2:$Q$34=A110))))</f>
        <v>1</v>
      </c>
      <c r="H110" s="15">
        <f>IFERROR(D110/B110,0)</f>
        <v>0.4</v>
      </c>
    </row>
    <row r="111" spans="1:8" ht="20" customHeight="1">
      <c r="A111" s="3" t="s">
        <v>145</v>
      </c>
      <c r="B111" s="14">
        <f>SUMIFS('Cleaned Data'!$K$2:$K$34,'Cleaned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Data'!$Q$2:$Q$34,A111)</f>
        <v>7000.0</v>
      </c>
      <c r="C111" s="14">
        <f>SUMIFS('Cleaned Data'!$L$2:$L$34,'Cleaned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Data'!$Q$2:$Q$34,A111)</f>
        <v>4000.0</v>
      </c>
      <c r="D111" s="14">
        <f>SUMIFS('Cleaned Data'!$M$2:$M$34,'Cleaned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Data'!$Q$2:$Q$34,A111)</f>
        <v>3000.0</v>
      </c>
      <c r="E111" s="14">
        <f>SUMIFS('Cleaned Data'!$I$2:$I$34,'Cleaned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Data'!$Q$2:$Q$34,A111)</f>
        <v>10.0</v>
      </c>
      <c r="F111" s="14">
        <f>COUNTIFS('Cleaned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Data'!$Q$2:$Q$34,A111)</f>
        <v>1</v>
      </c>
      <c r="G111" s="14">
        <f>SUMPRODUCT(((IF('Sales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Data'!$Q$2:$Q$34=A111))/(COUNTIFS('Cleaned Data'!$A$2:$A$34,'Cleaned Data'!$A$2:$A$34,'Cleaned Data'!$H$2:$H$34,IF('Sales Dashboard'!$B$6="All","*",'Sales Dashboard'!$B$6),'Cleaned Data'!$G$2:$G$34,IF('Sales Dashboard'!$F$6="All","*",'Sales Dashboard'!$F$6),'Cleaned Data'!$F$2:$F$34,IF('Sales Dashboard'!$J$6="All","*",'Sales Dashboard'!$J$6),'Cleaned Data'!$Q$2:$Q$34,IF('Sales Dashboard'!$N$6="All","*",'Sales Dashboard'!$N$6),'Cleaned Data'!$B$2:$B$34,"&gt;="&amp;'Sales Dashboard'!$B$8,'Cleaned Data'!$B$2:$B$34,"&lt;="&amp;'Sales Dashboard'!$F$8,'Cleaned Data'!$Q$2:$Q$34,A111)+1-((IF('Sales Dashboard'!$B$6="All",1,--('Cleaned Data'!$H$2:$H$34='Sales Dashboard'!$B$6))*IF('Sales Dashboard'!$F$6="All",1,--('Cleaned Data'!$G$2:$G$34='Sales Dashboard'!$F$6))*IF('Sales Dashboard'!$J$6="All",1,--('Cleaned Data'!$F$2:$F$34='Sales Dashboard'!$J$6))*IF('Sales Dashboard'!$N$6="All",1,--('Cleaned Data'!$Q$2:$Q$34='Sales Dashboard'!$N$6))*--('Cleaned Data'!$B$2:$B$34&gt;='Sales Dashboard'!$B$8)*--('Cleaned Data'!$B$2:$B$34&lt;='Sales Dashboard'!$F$8))*--('Cleaned Data'!$Q$2:$Q$34=A111))))</f>
        <v>1</v>
      </c>
      <c r="H111" s="15">
        <f>IFERROR(D111/B111,0)</f>
        <v>0.42857142857142855</v>
      </c>
    </row>
    <row r="115" spans="1:2" ht="20" customHeight="1">
      <c r="A115" s="13" t="s">
        <v>243</v>
      </c>
      <c r="B115" s="13" t="s">
        <v>244</v>
      </c>
    </row>
    <row r="116" spans="1:2" ht="20" customHeight="1">
      <c r="A116" t="s">
        <v>37</v>
      </c>
      <c r="B116" s="16">
        <f>B20+ROW()/1000000</f>
        <v>267000.000116</v>
      </c>
    </row>
    <row r="117" spans="1:2" ht="20" customHeight="1">
      <c r="A117" t="s">
        <v>16</v>
      </c>
      <c r="B117" s="16">
        <f>B21+ROW()/1000000</f>
        <v>235000.000117</v>
      </c>
    </row>
    <row r="118" spans="1:2" ht="20" customHeight="1">
      <c r="A118" t="s">
        <v>42</v>
      </c>
      <c r="B118" s="16">
        <f>B22+ROW()/1000000</f>
        <v>122000.000118</v>
      </c>
    </row>
    <row r="119" spans="1:2" ht="20" customHeight="1">
      <c r="A119" t="s">
        <v>65</v>
      </c>
      <c r="B119" s="16">
        <f>B23+ROW()/1000000</f>
        <v>92000.000119</v>
      </c>
    </row>
    <row r="120" spans="1:2" ht="20" customHeight="1">
      <c r="A120" t="s">
        <v>56</v>
      </c>
      <c r="B120" s="16">
        <f>B24+ROW()/1000000</f>
        <v>72000.00012</v>
      </c>
    </row>
    <row r="121" spans="1:2" ht="20" customHeight="1">
      <c r="A121" t="s">
        <v>26</v>
      </c>
      <c r="B121" s="16">
        <f>B25+ROW()/1000000</f>
        <v>68000.000121</v>
      </c>
    </row>
    <row r="122" spans="1:2" ht="20" customHeight="1">
      <c r="A122" t="s">
        <v>32</v>
      </c>
      <c r="B122" s="16">
        <f>B26+ROW()/1000000</f>
        <v>46000.000122</v>
      </c>
    </row>
    <row r="123" spans="1:2" ht="20" customHeight="1">
      <c r="A123" t="s">
        <v>57</v>
      </c>
      <c r="B123" s="16">
        <f>B27+ROW()/1000000</f>
        <v>34000.000123</v>
      </c>
    </row>
    <row r="124" spans="1:2" ht="20" customHeight="1">
      <c r="A124" t="s">
        <v>61</v>
      </c>
      <c r="B124" s="16">
        <f>B28+ROW()/1000000</f>
        <v>28000.000124</v>
      </c>
    </row>
    <row r="125" spans="1:2" ht="20" customHeight="1">
      <c r="A125" t="s">
        <v>53</v>
      </c>
      <c r="B125" s="16">
        <f>B29+ROW()/1000000</f>
        <v>26500.000125</v>
      </c>
    </row>
    <row r="126" spans="1:2" ht="20" customHeight="1">
      <c r="A126" t="s">
        <v>46</v>
      </c>
      <c r="B126" s="16">
        <f>B30+ROW()/1000000</f>
        <v>22500.000126</v>
      </c>
    </row>
    <row r="127" spans="1:2" ht="20" customHeight="1">
      <c r="A127" t="s">
        <v>38</v>
      </c>
      <c r="B127" s="16">
        <f>B31+ROW()/1000000</f>
        <v>13200.000127</v>
      </c>
    </row>
    <row r="128" spans="1:2" ht="20" customHeight="1">
      <c r="A128" t="s">
        <v>22</v>
      </c>
      <c r="B128" s="16">
        <f>B32+ROW()/1000000</f>
        <v>11000.000128</v>
      </c>
    </row>
    <row r="131" spans="1:2" ht="20" customHeight="1">
      <c r="A131" s="13" t="s">
        <v>245</v>
      </c>
      <c r="B131" s="13" t="s">
        <v>10</v>
      </c>
    </row>
    <row r="132" spans="1:2" ht="20" customHeight="1">
      <c r="A132" s="3" t="str">
        <f>INDEX($A$116:$A$128,MATCH(LARGE($B$116:$B$128,1),$B$116:$B$128,0))</f>
        <v>Mobile</v>
      </c>
      <c r="B132" s="14">
        <f>SUMIF($A$20:$A$32,A132,$B$20:$B$32)</f>
        <v>267000.0</v>
      </c>
    </row>
    <row r="133" spans="1:2" ht="20" customHeight="1">
      <c r="A133" s="3" t="str">
        <f>INDEX($A$116:$A$128,MATCH(LARGE($B$116:$B$128,2),$B$116:$B$128,0))</f>
        <v>Laptop</v>
      </c>
      <c r="B133" s="14">
        <f>SUMIF($A$20:$A$32,A133,$B$20:$B$32)</f>
        <v>235000.0</v>
      </c>
    </row>
    <row r="134" spans="1:2" ht="20" customHeight="1">
      <c r="A134" s="3" t="str">
        <f>INDEX($A$116:$A$128,MATCH(LARGE($B$116:$B$128,3),$B$116:$B$128,0))</f>
        <v>Sofa</v>
      </c>
      <c r="B134" s="14">
        <f>SUMIF($A$20:$A$32,A134,$B$20:$B$32)</f>
        <v>122000.0</v>
      </c>
    </row>
    <row r="135" spans="1:2" ht="20" customHeight="1">
      <c r="A135" s="3" t="str">
        <f>INDEX($A$116:$A$128,MATCH(LARGE($B$116:$B$128,4),$B$116:$B$128,0))</f>
        <v>Tablet</v>
      </c>
      <c r="B135" s="14">
        <f>SUMIF($A$20:$A$32,A135,$B$20:$B$32)</f>
        <v>92000.0</v>
      </c>
    </row>
    <row r="136" spans="1:2" ht="20" customHeight="1">
      <c r="A136" s="3" t="str">
        <f>INDEX($A$116:$A$128,MATCH(LARGE($B$116:$B$128,5),$B$116:$B$128,0))</f>
        <v>Monitor</v>
      </c>
      <c r="B136" s="14">
        <f>SUMIF($A$20:$A$32,A136,$B$20:$B$32)</f>
        <v>72000.0</v>
      </c>
    </row>
    <row r="140" spans="1:2" ht="20" customHeight="1">
      <c r="A140" s="13" t="s">
        <v>246</v>
      </c>
      <c r="B140" s="13" t="s">
        <v>244</v>
      </c>
    </row>
    <row r="141" spans="1:2" ht="20" customHeight="1">
      <c r="A141" t="s">
        <v>37</v>
      </c>
      <c r="B141" s="16">
        <f>D20+ROW()/1000000</f>
        <v>40000.000141</v>
      </c>
    </row>
    <row r="142" spans="1:2" ht="20" customHeight="1">
      <c r="A142" t="s">
        <v>16</v>
      </c>
      <c r="B142" s="16">
        <f>D21+ROW()/1000000</f>
        <v>30000.000142</v>
      </c>
    </row>
    <row r="143" spans="1:2" ht="20" customHeight="1">
      <c r="A143" t="s">
        <v>42</v>
      </c>
      <c r="B143" s="16">
        <f>D22+ROW()/1000000</f>
        <v>21000.000143</v>
      </c>
    </row>
    <row r="144" spans="1:2" ht="20" customHeight="1">
      <c r="A144" t="s">
        <v>65</v>
      </c>
      <c r="B144" s="16">
        <f>D23+ROW()/1000000</f>
        <v>15000.000144</v>
      </c>
    </row>
    <row r="145" spans="1:2" ht="20" customHeight="1">
      <c r="A145" t="s">
        <v>56</v>
      </c>
      <c r="B145" s="16">
        <f>D24+ROW()/1000000</f>
        <v>12000.000145</v>
      </c>
    </row>
    <row r="146" spans="1:2" ht="20" customHeight="1">
      <c r="A146" t="s">
        <v>26</v>
      </c>
      <c r="B146" s="16">
        <f>D25+ROW()/1000000</f>
        <v>19000.000146</v>
      </c>
    </row>
    <row r="147" spans="1:2" ht="20" customHeight="1">
      <c r="A147" t="s">
        <v>32</v>
      </c>
      <c r="B147" s="16">
        <f>D26+ROW()/1000000</f>
        <v>7000.000147</v>
      </c>
    </row>
    <row r="148" spans="1:2" ht="20" customHeight="1">
      <c r="A148" t="s">
        <v>57</v>
      </c>
      <c r="B148" s="16">
        <f>D27+ROW()/1000000</f>
        <v>8000.000148</v>
      </c>
    </row>
    <row r="149" spans="1:2" ht="20" customHeight="1">
      <c r="A149" t="s">
        <v>61</v>
      </c>
      <c r="B149" s="16">
        <f>D28+ROW()/1000000</f>
        <v>9000.000149</v>
      </c>
    </row>
    <row r="150" spans="1:2" ht="20" customHeight="1">
      <c r="A150" t="s">
        <v>53</v>
      </c>
      <c r="B150" s="16">
        <f>D29+ROW()/1000000</f>
        <v>7500.00015</v>
      </c>
    </row>
    <row r="151" spans="1:2" ht="20" customHeight="1">
      <c r="A151" t="s">
        <v>46</v>
      </c>
      <c r="B151" s="16">
        <f>D30+ROW()/1000000</f>
        <v>8000.000151</v>
      </c>
    </row>
    <row r="152" spans="1:2" ht="20" customHeight="1">
      <c r="A152" t="s">
        <v>38</v>
      </c>
      <c r="B152" s="16">
        <f>D31+ROW()/1000000</f>
        <v>5700.000152</v>
      </c>
    </row>
    <row r="153" spans="1:2" ht="20" customHeight="1">
      <c r="A153" t="s">
        <v>22</v>
      </c>
      <c r="B153" s="16">
        <f>D32+ROW()/1000000</f>
        <v>4500.000153</v>
      </c>
    </row>
    <row r="156" spans="1:2" ht="20" customHeight="1">
      <c r="A156" s="13" t="s">
        <v>247</v>
      </c>
      <c r="B156" s="13" t="s">
        <v>12</v>
      </c>
    </row>
    <row r="157" spans="1:2" ht="20" customHeight="1">
      <c r="A157" s="3" t="str">
        <f>INDEX($A$141:$A$153,MATCH(LARGE($B$141:$B$153,1),$B$141:$B$153,0))</f>
        <v>Mobile</v>
      </c>
      <c r="B157" s="14">
        <f>SUMIF($A$20:$A$32,A157,$D$20:$D$32)</f>
        <v>40000.0</v>
      </c>
    </row>
    <row r="158" spans="1:2" ht="20" customHeight="1">
      <c r="A158" s="3" t="str">
        <f>INDEX($A$141:$A$153,MATCH(LARGE($B$141:$B$153,2),$B$141:$B$153,0))</f>
        <v>Laptop</v>
      </c>
      <c r="B158" s="14">
        <f>SUMIF($A$20:$A$32,A158,$D$20:$D$32)</f>
        <v>30000.0</v>
      </c>
    </row>
    <row r="159" spans="1:2" ht="20" customHeight="1">
      <c r="A159" s="3" t="str">
        <f>INDEX($A$141:$A$153,MATCH(LARGE($B$141:$B$153,3),$B$141:$B$153,0))</f>
        <v>Sofa</v>
      </c>
      <c r="B159" s="14">
        <f>SUMIF($A$20:$A$32,A159,$D$20:$D$32)</f>
        <v>21000.0</v>
      </c>
    </row>
    <row r="160" spans="1:2" ht="20" customHeight="1">
      <c r="A160" s="3" t="str">
        <f>INDEX($A$141:$A$153,MATCH(LARGE($B$141:$B$153,4),$B$141:$B$153,0))</f>
        <v>Chair</v>
      </c>
      <c r="B160" s="14">
        <f>SUMIF($A$20:$A$32,A160,$D$20:$D$32)</f>
        <v>19000.0</v>
      </c>
    </row>
    <row r="161" spans="1:2" ht="20" customHeight="1">
      <c r="A161" s="3" t="str">
        <f>INDEX($A$141:$A$153,MATCH(LARGE($B$141:$B$153,5),$B$141:$B$153,0))</f>
        <v>Tablet</v>
      </c>
      <c r="B161" s="14">
        <f>SUMIF($A$20:$A$32,A161,$D$20:$D$32)</f>
        <v>15000.0</v>
      </c>
    </row>
  </sheetData>
  <mergeCells count="9">
    <mergeCell ref="A1:I2"/>
    <mergeCell ref="A3:I4"/>
    <mergeCell ref="D6:I9"/>
    <mergeCell ref="D11:I14"/>
    <mergeCell ref="A18:H18"/>
    <mergeCell ref="A36:H36"/>
    <mergeCell ref="A43:H43"/>
    <mergeCell ref="A52:H52"/>
    <mergeCell ref="A83:H83"/>
  </mergeCells>
  <conditionalFormatting sqref="B20:B32">
    <cfRule type="dataBar" priority="1">
      <dataBar>
        <cfvo type="min" val="0"/>
        <cfvo type="max" val="0"/>
        <color rgb="FF337DC1"/>
      </dataBar>
    </cfRule>
  </conditionalFormatting>
  <conditionalFormatting sqref="B38:B39">
    <cfRule type="dataBar" priority="4">
      <dataBar>
        <cfvo type="min" val="0"/>
        <cfvo type="max" val="0"/>
        <color rgb="FF337DC1"/>
      </dataBar>
    </cfRule>
  </conditionalFormatting>
  <conditionalFormatting sqref="B45:B48">
    <cfRule type="dataBar" priority="7">
      <dataBar>
        <cfvo type="min" val="0"/>
        <cfvo type="max" val="0"/>
        <color rgb="FF337DC1"/>
      </dataBar>
    </cfRule>
  </conditionalFormatting>
  <conditionalFormatting sqref="B54:B79">
    <cfRule type="dataBar" priority="10">
      <dataBar>
        <cfvo type="min" val="0"/>
        <cfvo type="max" val="0"/>
        <color rgb="FF337DC1"/>
      </dataBar>
    </cfRule>
  </conditionalFormatting>
  <conditionalFormatting sqref="B85:B111">
    <cfRule type="dataBar" priority="13">
      <dataBar>
        <cfvo type="min" val="0"/>
        <cfvo type="max" val="0"/>
        <color rgb="FF337DC1"/>
      </dataBar>
    </cfRule>
  </conditionalFormatting>
  <conditionalFormatting sqref="D20:D32">
    <cfRule type="dataBar" priority="2">
      <dataBar>
        <cfvo type="min" val="0"/>
        <cfvo type="max" val="0"/>
        <color rgb="FF00A99D"/>
      </dataBar>
    </cfRule>
  </conditionalFormatting>
  <conditionalFormatting sqref="D38:D39">
    <cfRule type="dataBar" priority="5">
      <dataBar>
        <cfvo type="min" val="0"/>
        <cfvo type="max" val="0"/>
        <color rgb="FF00A99D"/>
      </dataBar>
    </cfRule>
  </conditionalFormatting>
  <conditionalFormatting sqref="D45:D48">
    <cfRule type="dataBar" priority="8">
      <dataBar>
        <cfvo type="min" val="0"/>
        <cfvo type="max" val="0"/>
        <color rgb="FF00A99D"/>
      </dataBar>
    </cfRule>
  </conditionalFormatting>
  <conditionalFormatting sqref="D54:D79">
    <cfRule type="dataBar" priority="11">
      <dataBar>
        <cfvo type="min" val="0"/>
        <cfvo type="max" val="0"/>
        <color rgb="FF00A99D"/>
      </dataBar>
    </cfRule>
  </conditionalFormatting>
  <conditionalFormatting sqref="D85:D111">
    <cfRule type="dataBar" priority="14">
      <dataBar>
        <cfvo type="min" val="0"/>
        <cfvo type="max" val="0"/>
        <color rgb="FF00A99D"/>
      </dataBar>
    </cfRule>
  </conditionalFormatting>
  <conditionalFormatting sqref="H20:H32">
    <cfRule type="colorScale" priority="3">
      <colorScale>
        <cfvo type="min" val="0"/>
        <cfvo type="percentile" val="50"/>
        <cfvo type="max" val="0"/>
        <color rgb="FFF7CCCC"/>
        <color rgb="FFFFF3D4"/>
        <color rgb="FFBEE8D5"/>
      </colorScale>
    </cfRule>
  </conditionalFormatting>
  <conditionalFormatting sqref="H38:H39">
    <cfRule type="colorScale" priority="6">
      <colorScale>
        <cfvo type="min" val="0"/>
        <cfvo type="percentile" val="50"/>
        <cfvo type="max" val="0"/>
        <color rgb="FFF7CCCC"/>
        <color rgb="FFFFF3D4"/>
        <color rgb="FFBEE8D5"/>
      </colorScale>
    </cfRule>
  </conditionalFormatting>
  <conditionalFormatting sqref="H45:H48">
    <cfRule type="colorScale" priority="9">
      <colorScale>
        <cfvo type="min" val="0"/>
        <cfvo type="percentile" val="50"/>
        <cfvo type="max" val="0"/>
        <color rgb="FFF7CCCC"/>
        <color rgb="FFFFF3D4"/>
        <color rgb="FFBEE8D5"/>
      </colorScale>
    </cfRule>
  </conditionalFormatting>
  <conditionalFormatting sqref="H54:H79">
    <cfRule type="colorScale" priority="12">
      <colorScale>
        <cfvo type="min" val="0"/>
        <cfvo type="percentile" val="50"/>
        <cfvo type="max" val="0"/>
        <color rgb="FFF7CCCC"/>
        <color rgb="FFFFF3D4"/>
        <color rgb="FFBEE8D5"/>
      </colorScale>
    </cfRule>
  </conditionalFormatting>
  <conditionalFormatting sqref="H85:H111">
    <cfRule type="colorScale" priority="15">
      <colorScale>
        <cfvo type="min" val="0"/>
        <cfvo type="percentile" val="50"/>
        <cfvo type="max" val="0"/>
        <color rgb="FFF7CCCC"/>
        <color rgb="FFFFF3D4"/>
        <color rgb="FFBEE8D5"/>
      </colorScale>
    </cfRule>
  </conditionalFormatting>
  <pageMargins left="0.7" right="0.7" top="0.75" bottom="0.75" header="0.3" footer="0.3"/>
  <pageSetup paperSize="9" fitToHeight="0" orientation="landscape"/>
  <headerFooter>
    <oddFooter>&amp;LSales analysis | Source: supplied workbook&amp;RPage &amp;P of &amp;N</oddFooter>
  </headerFooter>
</worksheet>
</file>

<file path=xl/worksheets/sheet5.xml><?xml version="1.0" encoding="utf-8"?>
<worksheet xmlns="http://schemas.openxmlformats.org/spreadsheetml/2006/main" xmlns:r="http://schemas.openxmlformats.org/officeDocument/2006/relationships">
  <sheetPr>
    <tabColor rgb="FF00A99D"/>
    <pageSetUpPr fitToPage="1"/>
  </sheetPr>
  <dimension ref="A1:S34"/>
  <sheetViews>
    <sheetView showGridLines="0" zoomScale="90" zoomScaleNormal="90" workbookViewId="0">
      <pane ySplit="1" topLeftCell="A2" activePane="bottomLeft" state="frozen"/>
      <selection pane="bottomLeft"/>
    </sheetView>
  </sheetViews>
  <sheetFormatPr defaultRowHeight="20" customHeight="1"/>
  <cols>
    <col min="1" max="17" width="16.7109375" customWidth="1"/>
    <col min="18" max="18" width="32.7109375" customWidth="1"/>
    <col min="19" max="19" width="16.7109375" customWidth="1"/>
    <col min="20" max="20" width="31.7109375" customWidth="1"/>
  </cols>
  <sheetData>
    <row r="1" spans="1:19" ht="30" customHeight="1">
      <c r="A1" t="s">
        <v>0</v>
      </c>
      <c r="B1" t="s">
        <v>1</v>
      </c>
      <c r="C1" t="s">
        <v>2</v>
      </c>
      <c r="D1" t="s">
        <v>3</v>
      </c>
      <c r="E1" t="s">
        <v>4</v>
      </c>
      <c r="F1" t="s">
        <v>5</v>
      </c>
      <c r="G1" t="s">
        <v>6</v>
      </c>
      <c r="H1" t="s">
        <v>7</v>
      </c>
      <c r="I1" t="s">
        <v>8</v>
      </c>
      <c r="J1" t="s">
        <v>9</v>
      </c>
      <c r="K1" t="s">
        <v>10</v>
      </c>
      <c r="L1" t="s">
        <v>11</v>
      </c>
      <c r="M1" t="s">
        <v>12</v>
      </c>
      <c r="N1" t="s">
        <v>110</v>
      </c>
      <c r="O1" t="s">
        <v>111</v>
      </c>
      <c r="P1" t="s">
        <v>112</v>
      </c>
      <c r="Q1" t="s">
        <v>113</v>
      </c>
      <c r="R1" t="s">
        <v>114</v>
      </c>
      <c r="S1" t="s">
        <v>115</v>
      </c>
    </row>
    <row r="2" spans="1:19" ht="20" customHeight="1">
      <c r="A2" s="14">
        <v>1001</v>
      </c>
      <c r="B2" s="17">
        <v>45659</v>
      </c>
      <c r="C2" s="3" t="s">
        <v>13</v>
      </c>
      <c r="D2" s="3" t="s">
        <v>14</v>
      </c>
      <c r="E2" s="3" t="s">
        <v>15</v>
      </c>
      <c r="F2" s="3" t="s">
        <v>16</v>
      </c>
      <c r="G2" s="3" t="s">
        <v>17</v>
      </c>
      <c r="H2" s="3" t="s">
        <v>18</v>
      </c>
      <c r="I2" s="14">
        <v>2</v>
      </c>
      <c r="J2" s="14">
        <v>55000</v>
      </c>
      <c r="K2" s="14">
        <f>I2*J2</f>
        <v>110000</v>
      </c>
      <c r="L2" s="14">
        <v>95000</v>
      </c>
      <c r="M2" s="14">
        <f>K2-L2</f>
        <v>15000</v>
      </c>
      <c r="N2" s="15">
        <f>IFERROR(M2/K2,0)</f>
        <v>0.13636363636363635</v>
      </c>
      <c r="O2" s="16">
        <f>IFERROR(K2/I2,0)</f>
        <v>55000.0</v>
      </c>
      <c r="P2" s="3" t="s">
        <v>116</v>
      </c>
      <c r="Q2" s="3" t="s">
        <v>117</v>
      </c>
      <c r="R2" s="14">
        <v>1</v>
      </c>
      <c r="S2" s="3" t="s">
        <v>118</v>
      </c>
    </row>
    <row r="3" spans="1:19" ht="20" customHeight="1">
      <c r="A3" s="14">
        <v>1002</v>
      </c>
      <c r="B3" s="17">
        <v>45660</v>
      </c>
      <c r="C3" s="3" t="s">
        <v>19</v>
      </c>
      <c r="D3" s="3" t="s">
        <v>20</v>
      </c>
      <c r="E3" s="3" t="s">
        <v>21</v>
      </c>
      <c r="F3" s="3" t="s">
        <v>22</v>
      </c>
      <c r="G3" s="3" t="s">
        <v>17</v>
      </c>
      <c r="H3" s="3" t="s">
        <v>23</v>
      </c>
      <c r="I3" s="14">
        <v>5</v>
      </c>
      <c r="J3" s="14">
        <v>800</v>
      </c>
      <c r="K3" s="14">
        <f>I3*J3</f>
        <v>4000</v>
      </c>
      <c r="L3" s="14">
        <v>2500</v>
      </c>
      <c r="M3" s="14">
        <f>K3-L3</f>
        <v>1500</v>
      </c>
      <c r="N3" s="15">
        <f>IFERROR(M3/K3,0)</f>
        <v>0.375</v>
      </c>
      <c r="O3" s="16">
        <f>IFERROR(K3/I3,0)</f>
        <v>800.0</v>
      </c>
      <c r="P3" s="3" t="s">
        <v>116</v>
      </c>
      <c r="Q3" s="3" t="s">
        <v>119</v>
      </c>
      <c r="R3" s="14">
        <v>1</v>
      </c>
      <c r="S3" s="3" t="s">
        <v>118</v>
      </c>
    </row>
    <row r="4" spans="1:19" ht="20" customHeight="1">
      <c r="A4" s="14">
        <v>1003</v>
      </c>
      <c r="B4" s="17">
        <v>45659</v>
      </c>
      <c r="C4" s="3" t="s">
        <v>24</v>
      </c>
      <c r="D4" s="3" t="s">
        <v>120</v>
      </c>
      <c r="E4" s="3" t="s">
        <v>25</v>
      </c>
      <c r="F4" s="3" t="s">
        <v>26</v>
      </c>
      <c r="G4" s="3" t="s">
        <v>27</v>
      </c>
      <c r="H4" s="3" t="s">
        <v>28</v>
      </c>
      <c r="I4" s="14">
        <v>3</v>
      </c>
      <c r="J4" s="14">
        <v>4500</v>
      </c>
      <c r="K4" s="14">
        <f>I4*J4</f>
        <v>13500</v>
      </c>
      <c r="L4" s="14">
        <v>9000</v>
      </c>
      <c r="M4" s="14">
        <f>K4-L4</f>
        <v>4500</v>
      </c>
      <c r="N4" s="15">
        <f>IFERROR(M4/K4,0)</f>
        <v>0.3333333333333333</v>
      </c>
      <c r="O4" s="16">
        <f>IFERROR(K4/I4,0)</f>
        <v>4500.0</v>
      </c>
      <c r="P4" s="3" t="s">
        <v>116</v>
      </c>
      <c r="Q4" s="3" t="s">
        <v>121</v>
      </c>
      <c r="R4" s="14">
        <v>1</v>
      </c>
      <c r="S4" s="3" t="s">
        <v>122</v>
      </c>
    </row>
    <row r="5" spans="1:19" ht="20" customHeight="1">
      <c r="A5" s="14">
        <v>1004</v>
      </c>
      <c r="B5" s="17">
        <v>45669</v>
      </c>
      <c r="C5" s="3" t="s">
        <v>29</v>
      </c>
      <c r="D5" s="3" t="s">
        <v>30</v>
      </c>
      <c r="E5" s="3" t="s">
        <v>31</v>
      </c>
      <c r="F5" s="3" t="s">
        <v>32</v>
      </c>
      <c r="G5" s="3" t="s">
        <v>27</v>
      </c>
      <c r="H5" s="3" t="s">
        <v>33</v>
      </c>
      <c r="I5" s="14">
        <v>2</v>
      </c>
      <c r="J5" s="14">
        <v>7000</v>
      </c>
      <c r="K5" s="14">
        <f>I5*J5</f>
        <v>14000</v>
      </c>
      <c r="L5" s="14">
        <v>10000</v>
      </c>
      <c r="M5" s="14">
        <f>K5-L5</f>
        <v>4000</v>
      </c>
      <c r="N5" s="15">
        <f>IFERROR(M5/K5,0)</f>
        <v>0.2857142857142857</v>
      </c>
      <c r="O5" s="16">
        <f>IFERROR(K5/I5,0)</f>
        <v>7000.0</v>
      </c>
      <c r="P5" s="3" t="s">
        <v>116</v>
      </c>
      <c r="Q5" s="3" t="s">
        <v>123</v>
      </c>
      <c r="R5" s="14">
        <v>1</v>
      </c>
      <c r="S5" s="3" t="s">
        <v>122</v>
      </c>
    </row>
    <row r="6" spans="1:19" ht="20" customHeight="1">
      <c r="A6" s="14">
        <v>1005</v>
      </c>
      <c r="B6" s="17">
        <v>45672</v>
      </c>
      <c r="C6" s="3" t="s">
        <v>34</v>
      </c>
      <c r="D6" s="3" t="s">
        <v>35</v>
      </c>
      <c r="E6" s="3" t="s">
        <v>36</v>
      </c>
      <c r="F6" s="3" t="s">
        <v>37</v>
      </c>
      <c r="G6" s="3" t="s">
        <v>17</v>
      </c>
      <c r="H6" s="3" t="s">
        <v>18</v>
      </c>
      <c r="I6" s="14">
        <v>4</v>
      </c>
      <c r="J6" s="14">
        <v>20000</v>
      </c>
      <c r="K6" s="14">
        <f>I6*J6</f>
        <v>80000</v>
      </c>
      <c r="L6" s="14">
        <v>68000</v>
      </c>
      <c r="M6" s="14">
        <f>K6-L6</f>
        <v>12000</v>
      </c>
      <c r="N6" s="15">
        <f>IFERROR(M6/K6,0)</f>
        <v>0.15</v>
      </c>
      <c r="O6" s="16">
        <f>IFERROR(K6/I6,0)</f>
        <v>20000.0</v>
      </c>
      <c r="P6" s="3" t="s">
        <v>116</v>
      </c>
      <c r="Q6" s="3" t="s">
        <v>124</v>
      </c>
      <c r="R6" s="14">
        <v>1</v>
      </c>
      <c r="S6" s="3" t="s">
        <v>122</v>
      </c>
    </row>
    <row r="7" spans="1:19" ht="20" customHeight="1">
      <c r="A7" s="14">
        <v>1006</v>
      </c>
      <c r="B7" s="17">
        <v>46040</v>
      </c>
      <c r="C7" s="3" t="s">
        <v>13</v>
      </c>
      <c r="D7" s="3" t="s">
        <v>14</v>
      </c>
      <c r="E7" s="3" t="s">
        <v>15</v>
      </c>
      <c r="F7" s="3" t="s">
        <v>38</v>
      </c>
      <c r="G7" s="3" t="s">
        <v>17</v>
      </c>
      <c r="H7" s="3" t="s">
        <v>23</v>
      </c>
      <c r="I7" s="14">
        <v>6</v>
      </c>
      <c r="J7" s="14">
        <v>1200</v>
      </c>
      <c r="K7" s="14">
        <f>I7*J7</f>
        <v>7200</v>
      </c>
      <c r="L7" s="14">
        <v>4000</v>
      </c>
      <c r="M7" s="14">
        <f>K7-L7</f>
        <v>3200</v>
      </c>
      <c r="N7" s="15">
        <f>IFERROR(M7/K7,0)</f>
        <v>0.4444444444444444</v>
      </c>
      <c r="O7" s="16">
        <f>IFERROR(K7/I7,0)</f>
        <v>1200.0</v>
      </c>
      <c r="P7" s="3" t="s">
        <v>125</v>
      </c>
      <c r="Q7" s="3" t="s">
        <v>117</v>
      </c>
      <c r="R7" s="14">
        <v>1</v>
      </c>
      <c r="S7" s="3" t="s">
        <v>118</v>
      </c>
    </row>
    <row r="8" spans="1:19" ht="20" customHeight="1">
      <c r="A8" s="14">
        <v>1007</v>
      </c>
      <c r="B8" s="17">
        <v>45677</v>
      </c>
      <c r="C8" s="3" t="s">
        <v>39</v>
      </c>
      <c r="D8" s="3" t="s">
        <v>40</v>
      </c>
      <c r="E8" s="3" t="s">
        <v>41</v>
      </c>
      <c r="F8" s="3" t="s">
        <v>42</v>
      </c>
      <c r="G8" s="3" t="s">
        <v>27</v>
      </c>
      <c r="H8" s="3" t="s">
        <v>28</v>
      </c>
      <c r="I8" s="14">
        <v>1</v>
      </c>
      <c r="J8" s="14">
        <v>35000</v>
      </c>
      <c r="K8" s="14">
        <f>I8*J8</f>
        <v>35000</v>
      </c>
      <c r="L8" s="14">
        <v>28000</v>
      </c>
      <c r="M8" s="14">
        <f>K8-L8</f>
        <v>7000</v>
      </c>
      <c r="N8" s="15">
        <f>IFERROR(M8/K8,0)</f>
        <v>0.2</v>
      </c>
      <c r="O8" s="16">
        <f>IFERROR(K8/I8,0)</f>
        <v>35000.0</v>
      </c>
      <c r="P8" s="3" t="s">
        <v>116</v>
      </c>
      <c r="Q8" s="3" t="s">
        <v>126</v>
      </c>
      <c r="R8" s="14">
        <v>1</v>
      </c>
      <c r="S8" s="3" t="s">
        <v>118</v>
      </c>
    </row>
    <row r="9" spans="1:19" ht="20" customHeight="1">
      <c r="A9" s="14">
        <v>1008</v>
      </c>
      <c r="B9" s="17">
        <v>45681</v>
      </c>
      <c r="C9" s="3" t="s">
        <v>43</v>
      </c>
      <c r="D9" s="3" t="s">
        <v>44</v>
      </c>
      <c r="E9" s="3" t="s">
        <v>45</v>
      </c>
      <c r="F9" s="3" t="s">
        <v>46</v>
      </c>
      <c r="G9" s="3" t="s">
        <v>17</v>
      </c>
      <c r="H9" s="3" t="s">
        <v>33</v>
      </c>
      <c r="I9" s="14">
        <v>3</v>
      </c>
      <c r="J9" s="14">
        <v>2500</v>
      </c>
      <c r="K9" s="14">
        <f>I9*J9</f>
        <v>7500</v>
      </c>
      <c r="L9" s="14">
        <v>4500</v>
      </c>
      <c r="M9" s="14">
        <f>K9-L9</f>
        <v>3000</v>
      </c>
      <c r="N9" s="15">
        <f>IFERROR(M9/K9,0)</f>
        <v>0.4</v>
      </c>
      <c r="O9" s="16">
        <f>IFERROR(K9/I9,0)</f>
        <v>2500.0</v>
      </c>
      <c r="P9" s="3" t="s">
        <v>116</v>
      </c>
      <c r="Q9" s="3" t="s">
        <v>127</v>
      </c>
      <c r="R9" s="14">
        <v>1</v>
      </c>
      <c r="S9" s="3" t="s">
        <v>118</v>
      </c>
    </row>
    <row r="10" spans="1:19" ht="20" customHeight="1">
      <c r="A10" s="14">
        <v>1009</v>
      </c>
      <c r="B10" s="17">
        <v>46055</v>
      </c>
      <c r="C10" s="3" t="s">
        <v>47</v>
      </c>
      <c r="D10" s="3" t="s">
        <v>48</v>
      </c>
      <c r="E10" s="3" t="s">
        <v>49</v>
      </c>
      <c r="F10" s="3" t="s">
        <v>16</v>
      </c>
      <c r="G10" s="3" t="s">
        <v>17</v>
      </c>
      <c r="H10" s="3" t="s">
        <v>18</v>
      </c>
      <c r="I10" s="14">
        <v>1</v>
      </c>
      <c r="J10" s="14">
        <v>60000</v>
      </c>
      <c r="K10" s="14">
        <f>I10*J10</f>
        <v>60000</v>
      </c>
      <c r="L10" s="14">
        <v>52000</v>
      </c>
      <c r="M10" s="14">
        <f>K10-L10</f>
        <v>8000</v>
      </c>
      <c r="N10" s="15">
        <f>IFERROR(M10/K10,0)</f>
        <v>0.13333333333333333</v>
      </c>
      <c r="O10" s="16">
        <f>IFERROR(K10/I10,0)</f>
        <v>60000.0</v>
      </c>
      <c r="P10" s="3" t="s">
        <v>128</v>
      </c>
      <c r="Q10" s="3" t="s">
        <v>129</v>
      </c>
      <c r="R10" s="14">
        <v>1</v>
      </c>
      <c r="S10" s="3" t="s">
        <v>118</v>
      </c>
    </row>
    <row r="11" spans="1:19" ht="20" customHeight="1">
      <c r="A11" s="14">
        <v>1010</v>
      </c>
      <c r="B11" s="17">
        <v>45693</v>
      </c>
      <c r="C11" s="3" t="s">
        <v>50</v>
      </c>
      <c r="D11" s="3" t="s">
        <v>51</v>
      </c>
      <c r="E11" s="3" t="s">
        <v>52</v>
      </c>
      <c r="F11" s="3" t="s">
        <v>53</v>
      </c>
      <c r="G11" s="3" t="s">
        <v>27</v>
      </c>
      <c r="H11" s="3" t="s">
        <v>23</v>
      </c>
      <c r="I11" s="14">
        <v>2</v>
      </c>
      <c r="J11" s="14">
        <v>8500</v>
      </c>
      <c r="K11" s="14">
        <f>I11*J11</f>
        <v>17000</v>
      </c>
      <c r="L11" s="14">
        <v>12000</v>
      </c>
      <c r="M11" s="14">
        <f>K11-L11</f>
        <v>5000</v>
      </c>
      <c r="N11" s="15">
        <f>IFERROR(M11/K11,0)</f>
        <v>0.29411764705882354</v>
      </c>
      <c r="O11" s="16">
        <f>IFERROR(K11/I11,0)</f>
        <v>8500.0</v>
      </c>
      <c r="P11" s="3" t="s">
        <v>130</v>
      </c>
      <c r="Q11" s="3" t="s">
        <v>131</v>
      </c>
      <c r="R11" s="14">
        <v>1</v>
      </c>
      <c r="S11" s="3" t="s">
        <v>118</v>
      </c>
    </row>
    <row r="12" spans="1:19" ht="20" customHeight="1">
      <c r="A12" s="14">
        <v>1011</v>
      </c>
      <c r="B12" s="17">
        <v>45696</v>
      </c>
      <c r="C12" s="3" t="s">
        <v>54</v>
      </c>
      <c r="D12" s="3" t="s">
        <v>120</v>
      </c>
      <c r="E12" s="3" t="s">
        <v>55</v>
      </c>
      <c r="F12" s="3" t="s">
        <v>56</v>
      </c>
      <c r="G12" s="3" t="s">
        <v>17</v>
      </c>
      <c r="H12" s="3" t="s">
        <v>28</v>
      </c>
      <c r="I12" s="14">
        <v>2</v>
      </c>
      <c r="J12" s="14">
        <v>15000</v>
      </c>
      <c r="K12" s="14">
        <f>I12*J12</f>
        <v>30000</v>
      </c>
      <c r="L12" s="14">
        <v>25000</v>
      </c>
      <c r="M12" s="14">
        <f>K12-L12</f>
        <v>5000</v>
      </c>
      <c r="N12" s="15">
        <f>IFERROR(M12/K12,0)</f>
        <v>0.16666666666666666</v>
      </c>
      <c r="O12" s="16">
        <f>IFERROR(K12/I12,0)</f>
        <v>15000.0</v>
      </c>
      <c r="P12" s="3" t="s">
        <v>130</v>
      </c>
      <c r="Q12" s="3" t="s">
        <v>132</v>
      </c>
      <c r="R12" s="14">
        <v>1</v>
      </c>
      <c r="S12" s="3" t="s">
        <v>133</v>
      </c>
    </row>
    <row r="13" spans="1:19" ht="20" customHeight="1">
      <c r="A13" s="14">
        <v>1012</v>
      </c>
      <c r="B13" s="17">
        <v>45693</v>
      </c>
      <c r="C13" s="3" t="s">
        <v>19</v>
      </c>
      <c r="D13" s="3" t="s">
        <v>20</v>
      </c>
      <c r="E13" s="3" t="s">
        <v>21</v>
      </c>
      <c r="F13" s="3" t="s">
        <v>57</v>
      </c>
      <c r="G13" s="3" t="s">
        <v>17</v>
      </c>
      <c r="H13" s="3" t="s">
        <v>33</v>
      </c>
      <c r="I13" s="14">
        <v>1</v>
      </c>
      <c r="J13" s="14">
        <v>12000</v>
      </c>
      <c r="K13" s="14">
        <f>I13*J13</f>
        <v>12000</v>
      </c>
      <c r="L13" s="14">
        <v>9000</v>
      </c>
      <c r="M13" s="14">
        <f>K13-L13</f>
        <v>3000</v>
      </c>
      <c r="N13" s="15">
        <f>IFERROR(M13/K13,0)</f>
        <v>0.25</v>
      </c>
      <c r="O13" s="16">
        <f>IFERROR(K13/I13,0)</f>
        <v>12000.0</v>
      </c>
      <c r="P13" s="3" t="s">
        <v>130</v>
      </c>
      <c r="Q13" s="3" t="s">
        <v>119</v>
      </c>
      <c r="R13" s="14">
        <v>1</v>
      </c>
      <c r="S13" s="3" t="s">
        <v>118</v>
      </c>
    </row>
    <row r="14" spans="1:19" ht="20" customHeight="1">
      <c r="A14" s="14">
        <v>1013</v>
      </c>
      <c r="B14" s="17">
        <v>45702</v>
      </c>
      <c r="C14" s="3" t="s">
        <v>58</v>
      </c>
      <c r="D14" s="3" t="s">
        <v>59</v>
      </c>
      <c r="E14" s="3" t="s">
        <v>60</v>
      </c>
      <c r="F14" s="3" t="s">
        <v>61</v>
      </c>
      <c r="G14" s="3" t="s">
        <v>27</v>
      </c>
      <c r="H14" s="3" t="s">
        <v>18</v>
      </c>
      <c r="I14" s="14">
        <v>2</v>
      </c>
      <c r="J14" s="14">
        <v>6500</v>
      </c>
      <c r="K14" s="14">
        <f>I14*J14</f>
        <v>13000</v>
      </c>
      <c r="L14" s="14">
        <v>9000</v>
      </c>
      <c r="M14" s="14">
        <f>K14-L14</f>
        <v>4000</v>
      </c>
      <c r="N14" s="15">
        <f>IFERROR(M14/K14,0)</f>
        <v>0.3076923076923077</v>
      </c>
      <c r="O14" s="16">
        <f>IFERROR(K14/I14,0)</f>
        <v>6500.0</v>
      </c>
      <c r="P14" s="3" t="s">
        <v>130</v>
      </c>
      <c r="Q14" s="3" t="s">
        <v>134</v>
      </c>
      <c r="R14" s="14">
        <v>1</v>
      </c>
      <c r="S14" s="3" t="s">
        <v>118</v>
      </c>
    </row>
    <row r="15" spans="1:19" ht="20" customHeight="1">
      <c r="A15" s="14">
        <v>1014</v>
      </c>
      <c r="B15" s="17">
        <v>45706</v>
      </c>
      <c r="C15" s="3" t="s">
        <v>62</v>
      </c>
      <c r="D15" s="3" t="s">
        <v>63</v>
      </c>
      <c r="E15" s="3" t="s">
        <v>64</v>
      </c>
      <c r="F15" s="3" t="s">
        <v>65</v>
      </c>
      <c r="G15" s="3" t="s">
        <v>17</v>
      </c>
      <c r="H15" s="3" t="s">
        <v>23</v>
      </c>
      <c r="I15" s="14">
        <v>3</v>
      </c>
      <c r="J15" s="14">
        <v>18000</v>
      </c>
      <c r="K15" s="14">
        <f>I15*J15</f>
        <v>54000</v>
      </c>
      <c r="L15" s="14">
        <v>45000</v>
      </c>
      <c r="M15" s="14">
        <f>K15-L15</f>
        <v>9000</v>
      </c>
      <c r="N15" s="15">
        <f>IFERROR(M15/K15,0)</f>
        <v>0.16666666666666666</v>
      </c>
      <c r="O15" s="16">
        <f>IFERROR(K15/I15,0)</f>
        <v>18000.0</v>
      </c>
      <c r="P15" s="3" t="s">
        <v>130</v>
      </c>
      <c r="Q15" s="3" t="s">
        <v>135</v>
      </c>
      <c r="R15" s="14">
        <v>1</v>
      </c>
      <c r="S15" s="3" t="s">
        <v>118</v>
      </c>
    </row>
    <row r="16" spans="1:19" ht="20" customHeight="1">
      <c r="A16" s="14">
        <v>1015</v>
      </c>
      <c r="B16" s="17">
        <v>45710</v>
      </c>
      <c r="C16" s="3" t="s">
        <v>66</v>
      </c>
      <c r="D16" s="3" t="s">
        <v>67</v>
      </c>
      <c r="E16" s="3" t="s">
        <v>68</v>
      </c>
      <c r="F16" s="3" t="s">
        <v>26</v>
      </c>
      <c r="G16" s="3" t="s">
        <v>27</v>
      </c>
      <c r="H16" s="3" t="s">
        <v>28</v>
      </c>
      <c r="I16" s="14">
        <v>5</v>
      </c>
      <c r="J16" s="14">
        <v>4000</v>
      </c>
      <c r="K16" s="14">
        <f>I16*J16</f>
        <v>20000</v>
      </c>
      <c r="L16" s="14">
        <v>15000</v>
      </c>
      <c r="M16" s="14">
        <f>K16-L16</f>
        <v>5000</v>
      </c>
      <c r="N16" s="15">
        <f>IFERROR(M16/K16,0)</f>
        <v>0.25</v>
      </c>
      <c r="O16" s="16">
        <f>IFERROR(K16/I16,0)</f>
        <v>4000.0</v>
      </c>
      <c r="P16" s="3" t="s">
        <v>130</v>
      </c>
      <c r="Q16" s="3" t="s">
        <v>136</v>
      </c>
      <c r="R16" s="14">
        <v>1</v>
      </c>
      <c r="S16" s="3" t="s">
        <v>118</v>
      </c>
    </row>
    <row r="17" spans="1:19" ht="20" customHeight="1">
      <c r="A17" s="14">
        <v>1016</v>
      </c>
      <c r="B17" s="17">
        <v>45717</v>
      </c>
      <c r="C17" s="3" t="s">
        <v>69</v>
      </c>
      <c r="D17" s="3" t="s">
        <v>70</v>
      </c>
      <c r="E17" s="3" t="s">
        <v>71</v>
      </c>
      <c r="F17" s="3" t="s">
        <v>37</v>
      </c>
      <c r="G17" s="3" t="s">
        <v>17</v>
      </c>
      <c r="H17" s="3" t="s">
        <v>33</v>
      </c>
      <c r="I17" s="14">
        <v>2</v>
      </c>
      <c r="J17" s="14">
        <v>22000</v>
      </c>
      <c r="K17" s="14">
        <f>I17*J17</f>
        <v>44000</v>
      </c>
      <c r="L17" s="14">
        <v>37000</v>
      </c>
      <c r="M17" s="14">
        <f>K17-L17</f>
        <v>7000</v>
      </c>
      <c r="N17" s="15">
        <f>IFERROR(M17/K17,0)</f>
        <v>0.1590909090909091</v>
      </c>
      <c r="O17" s="16">
        <f>IFERROR(K17/I17,0)</f>
        <v>22000.0</v>
      </c>
      <c r="P17" s="3" t="s">
        <v>137</v>
      </c>
      <c r="Q17" s="3" t="s">
        <v>138</v>
      </c>
      <c r="R17" s="14">
        <v>1</v>
      </c>
      <c r="S17" s="3" t="s">
        <v>118</v>
      </c>
    </row>
    <row r="18" spans="1:19" ht="20" customHeight="1">
      <c r="A18" s="14">
        <v>1017</v>
      </c>
      <c r="B18" s="17">
        <v>45327</v>
      </c>
      <c r="C18" s="3" t="s">
        <v>72</v>
      </c>
      <c r="D18" s="3" t="s">
        <v>73</v>
      </c>
      <c r="E18" s="3" t="s">
        <v>74</v>
      </c>
      <c r="F18" s="3" t="s">
        <v>42</v>
      </c>
      <c r="G18" s="3" t="s">
        <v>27</v>
      </c>
      <c r="H18" s="3" t="s">
        <v>18</v>
      </c>
      <c r="I18" s="14">
        <v>1</v>
      </c>
      <c r="J18" s="14">
        <v>42000</v>
      </c>
      <c r="K18" s="14">
        <f>I18*J18</f>
        <v>42000</v>
      </c>
      <c r="L18" s="14">
        <v>35000</v>
      </c>
      <c r="M18" s="14">
        <f>K18-L18</f>
        <v>7000</v>
      </c>
      <c r="N18" s="15">
        <f>IFERROR(M18/K18,0)</f>
        <v>0.16666666666666666</v>
      </c>
      <c r="O18" s="16">
        <f>IFERROR(K18/I18,0)</f>
        <v>42000.0</v>
      </c>
      <c r="P18" s="3" t="s">
        <v>139</v>
      </c>
      <c r="Q18" s="3" t="s">
        <v>140</v>
      </c>
      <c r="R18" s="14">
        <v>1</v>
      </c>
      <c r="S18" s="3" t="s">
        <v>118</v>
      </c>
    </row>
    <row r="19" spans="1:19" ht="20" customHeight="1">
      <c r="A19" s="14">
        <v>1018</v>
      </c>
      <c r="B19" s="17">
        <v>45724</v>
      </c>
      <c r="C19" s="3" t="s">
        <v>24</v>
      </c>
      <c r="D19" s="3" t="s">
        <v>120</v>
      </c>
      <c r="E19" s="3" t="s">
        <v>25</v>
      </c>
      <c r="F19" s="3" t="s">
        <v>38</v>
      </c>
      <c r="G19" s="3" t="s">
        <v>17</v>
      </c>
      <c r="H19" s="3" t="s">
        <v>23</v>
      </c>
      <c r="I19" s="14">
        <v>4</v>
      </c>
      <c r="J19" s="14">
        <v>1500</v>
      </c>
      <c r="K19" s="14">
        <f>I19*J19</f>
        <v>6000</v>
      </c>
      <c r="L19" s="14">
        <v>3500</v>
      </c>
      <c r="M19" s="14">
        <f>K19-L19</f>
        <v>2500</v>
      </c>
      <c r="N19" s="15">
        <f>IFERROR(M19/K19,0)</f>
        <v>0.4166666666666667</v>
      </c>
      <c r="O19" s="16">
        <f>IFERROR(K19/I19,0)</f>
        <v>1500.0</v>
      </c>
      <c r="P19" s="3" t="s">
        <v>137</v>
      </c>
      <c r="Q19" s="3" t="s">
        <v>121</v>
      </c>
      <c r="R19" s="14">
        <v>1</v>
      </c>
      <c r="S19" s="3" t="s">
        <v>133</v>
      </c>
    </row>
    <row r="20" spans="1:19" ht="20" customHeight="1">
      <c r="A20" s="14">
        <v>1019</v>
      </c>
      <c r="B20" s="17">
        <v>45728</v>
      </c>
      <c r="C20" s="3" t="s">
        <v>75</v>
      </c>
      <c r="D20" s="3" t="s">
        <v>76</v>
      </c>
      <c r="E20" s="3" t="s">
        <v>77</v>
      </c>
      <c r="F20" s="3" t="s">
        <v>56</v>
      </c>
      <c r="G20" s="3" t="s">
        <v>17</v>
      </c>
      <c r="H20" s="3" t="s">
        <v>28</v>
      </c>
      <c r="I20" s="14">
        <v>3</v>
      </c>
      <c r="J20" s="14">
        <v>14000</v>
      </c>
      <c r="K20" s="14">
        <f>I20*J20</f>
        <v>42000</v>
      </c>
      <c r="L20" s="14">
        <v>35000</v>
      </c>
      <c r="M20" s="14">
        <f>K20-L20</f>
        <v>7000</v>
      </c>
      <c r="N20" s="15">
        <f>IFERROR(M20/K20,0)</f>
        <v>0.16666666666666666</v>
      </c>
      <c r="O20" s="16">
        <f>IFERROR(K20/I20,0)</f>
        <v>14000.0</v>
      </c>
      <c r="P20" s="3" t="s">
        <v>137</v>
      </c>
      <c r="Q20" s="3" t="s">
        <v>141</v>
      </c>
      <c r="R20" s="14">
        <v>1</v>
      </c>
      <c r="S20" s="3" t="s">
        <v>118</v>
      </c>
    </row>
    <row r="21" spans="1:19" ht="20" customHeight="1">
      <c r="A21" s="14">
        <v>1020</v>
      </c>
      <c r="B21" s="17">
        <v>45731</v>
      </c>
      <c r="C21" s="3" t="s">
        <v>78</v>
      </c>
      <c r="D21" s="3" t="s">
        <v>79</v>
      </c>
      <c r="E21" s="3" t="s">
        <v>80</v>
      </c>
      <c r="F21" s="3" t="s">
        <v>32</v>
      </c>
      <c r="G21" s="3" t="s">
        <v>27</v>
      </c>
      <c r="H21" s="3" t="s">
        <v>33</v>
      </c>
      <c r="I21" s="14">
        <v>2</v>
      </c>
      <c r="J21" s="14">
        <v>9000</v>
      </c>
      <c r="K21" s="14">
        <f>I21*J21</f>
        <v>18000</v>
      </c>
      <c r="L21" s="14">
        <v>14000</v>
      </c>
      <c r="M21" s="14">
        <f>K21-L21</f>
        <v>4000</v>
      </c>
      <c r="N21" s="15">
        <f>IFERROR(M21/K21,0)</f>
        <v>0.2222222222222222</v>
      </c>
      <c r="O21" s="16">
        <f>IFERROR(K21/I21,0)</f>
        <v>9000.0</v>
      </c>
      <c r="P21" s="3" t="s">
        <v>137</v>
      </c>
      <c r="Q21" s="3" t="s">
        <v>142</v>
      </c>
      <c r="R21" s="14">
        <v>1</v>
      </c>
      <c r="S21" s="3" t="s">
        <v>118</v>
      </c>
    </row>
    <row r="22" spans="1:19" ht="20" customHeight="1">
      <c r="A22" s="14">
        <v>1021</v>
      </c>
      <c r="B22" s="17">
        <v>45736</v>
      </c>
      <c r="C22" s="3" t="s">
        <v>81</v>
      </c>
      <c r="D22" s="3" t="s">
        <v>82</v>
      </c>
      <c r="E22" s="3" t="s">
        <v>83</v>
      </c>
      <c r="F22" s="3" t="s">
        <v>16</v>
      </c>
      <c r="G22" s="3" t="s">
        <v>17</v>
      </c>
      <c r="H22" s="3" t="s">
        <v>18</v>
      </c>
      <c r="I22" s="14">
        <v>1</v>
      </c>
      <c r="J22" s="14">
        <v>65000</v>
      </c>
      <c r="K22" s="14">
        <f>I22*J22</f>
        <v>65000</v>
      </c>
      <c r="L22" s="14">
        <v>58000</v>
      </c>
      <c r="M22" s="14">
        <f>K22-L22</f>
        <v>7000</v>
      </c>
      <c r="N22" s="15">
        <f>IFERROR(M22/K22,0)</f>
        <v>0.1076923076923077</v>
      </c>
      <c r="O22" s="16">
        <f>IFERROR(K22/I22,0)</f>
        <v>65000.0</v>
      </c>
      <c r="P22" s="3" t="s">
        <v>137</v>
      </c>
      <c r="Q22" s="3" t="s">
        <v>143</v>
      </c>
      <c r="R22" s="14">
        <v>1</v>
      </c>
      <c r="S22" s="3" t="s">
        <v>118</v>
      </c>
    </row>
    <row r="23" spans="1:19" ht="20" customHeight="1">
      <c r="A23" s="14">
        <v>1022</v>
      </c>
      <c r="B23" s="17">
        <v>45376</v>
      </c>
      <c r="C23" s="3" t="s">
        <v>84</v>
      </c>
      <c r="D23" s="3" t="s">
        <v>85</v>
      </c>
      <c r="E23" s="3" t="s">
        <v>86</v>
      </c>
      <c r="F23" s="3" t="s">
        <v>22</v>
      </c>
      <c r="G23" s="3" t="s">
        <v>17</v>
      </c>
      <c r="H23" s="3" t="s">
        <v>23</v>
      </c>
      <c r="I23" s="14">
        <v>10</v>
      </c>
      <c r="J23" s="14">
        <v>700</v>
      </c>
      <c r="K23" s="14">
        <f>I23*J23</f>
        <v>7000</v>
      </c>
      <c r="L23" s="14">
        <v>4000</v>
      </c>
      <c r="M23" s="14">
        <f>K23-L23</f>
        <v>3000</v>
      </c>
      <c r="N23" s="15">
        <f>IFERROR(M23/K23,0)</f>
        <v>0.42857142857142855</v>
      </c>
      <c r="O23" s="16">
        <f>IFERROR(K23/I23,0)</f>
        <v>700.0</v>
      </c>
      <c r="P23" s="3" t="s">
        <v>144</v>
      </c>
      <c r="Q23" s="3" t="s">
        <v>145</v>
      </c>
      <c r="R23" s="14">
        <v>1</v>
      </c>
      <c r="S23" s="3" t="s">
        <v>118</v>
      </c>
    </row>
    <row r="24" spans="1:19" ht="20" customHeight="1">
      <c r="A24" s="14">
        <v>1023</v>
      </c>
      <c r="B24" s="17">
        <v>45749</v>
      </c>
      <c r="C24" s="3" t="s">
        <v>87</v>
      </c>
      <c r="D24" s="3" t="s">
        <v>88</v>
      </c>
      <c r="E24" s="3" t="s">
        <v>89</v>
      </c>
      <c r="F24" s="3" t="s">
        <v>26</v>
      </c>
      <c r="G24" s="3" t="s">
        <v>27</v>
      </c>
      <c r="H24" s="3" t="s">
        <v>28</v>
      </c>
      <c r="I24" s="14">
        <v>6</v>
      </c>
      <c r="J24" s="14">
        <v>3500</v>
      </c>
      <c r="K24" s="14">
        <f>I24*J24</f>
        <v>21000</v>
      </c>
      <c r="L24" s="14">
        <v>16000</v>
      </c>
      <c r="M24" s="14">
        <f>K24-L24</f>
        <v>5000</v>
      </c>
      <c r="N24" s="15">
        <f>IFERROR(M24/K24,0)</f>
        <v>0.23809523809523808</v>
      </c>
      <c r="O24" s="16">
        <f>IFERROR(K24/I24,0)</f>
        <v>3500.0</v>
      </c>
      <c r="P24" s="3" t="s">
        <v>146</v>
      </c>
      <c r="Q24" s="3" t="s">
        <v>147</v>
      </c>
      <c r="R24" s="14">
        <v>1</v>
      </c>
      <c r="S24" s="3" t="s">
        <v>118</v>
      </c>
    </row>
    <row r="25" spans="1:19" ht="20" customHeight="1">
      <c r="A25" s="14">
        <v>1024</v>
      </c>
      <c r="B25" s="17">
        <v>45752</v>
      </c>
      <c r="C25" s="3" t="s">
        <v>90</v>
      </c>
      <c r="D25" s="3" t="s">
        <v>91</v>
      </c>
      <c r="E25" s="3" t="s">
        <v>92</v>
      </c>
      <c r="F25" s="3" t="s">
        <v>57</v>
      </c>
      <c r="G25" s="3" t="s">
        <v>17</v>
      </c>
      <c r="H25" s="3" t="s">
        <v>33</v>
      </c>
      <c r="I25" s="14">
        <v>2</v>
      </c>
      <c r="J25" s="14">
        <v>11000</v>
      </c>
      <c r="K25" s="14">
        <f>I25*J25</f>
        <v>22000</v>
      </c>
      <c r="L25" s="14">
        <v>17000</v>
      </c>
      <c r="M25" s="14">
        <f>K25-L25</f>
        <v>5000</v>
      </c>
      <c r="N25" s="15">
        <f>IFERROR(M25/K25,0)</f>
        <v>0.22727272727272727</v>
      </c>
      <c r="O25" s="16">
        <f>IFERROR(K25/I25,0)</f>
        <v>11000.0</v>
      </c>
      <c r="P25" s="3" t="s">
        <v>146</v>
      </c>
      <c r="Q25" s="3" t="s">
        <v>148</v>
      </c>
      <c r="R25" s="14">
        <v>1</v>
      </c>
      <c r="S25" s="3" t="s">
        <v>118</v>
      </c>
    </row>
    <row r="26" spans="1:19" ht="20" customHeight="1">
      <c r="A26" s="14">
        <v>1025</v>
      </c>
      <c r="B26" s="17">
        <v>45755</v>
      </c>
      <c r="C26" s="3" t="s">
        <v>93</v>
      </c>
      <c r="D26" s="3" t="s">
        <v>94</v>
      </c>
      <c r="E26" s="3" t="s">
        <v>95</v>
      </c>
      <c r="F26" s="3" t="s">
        <v>53</v>
      </c>
      <c r="G26" s="3" t="s">
        <v>27</v>
      </c>
      <c r="H26" s="3" t="s">
        <v>18</v>
      </c>
      <c r="I26" s="14">
        <v>1</v>
      </c>
      <c r="J26" s="14">
        <v>9500</v>
      </c>
      <c r="K26" s="14">
        <f>I26*J26</f>
        <v>9500</v>
      </c>
      <c r="L26" s="14">
        <v>7000</v>
      </c>
      <c r="M26" s="14">
        <f>K26-L26</f>
        <v>2500</v>
      </c>
      <c r="N26" s="15">
        <f>IFERROR(M26/K26,0)</f>
        <v>0.2631578947368421</v>
      </c>
      <c r="O26" s="16">
        <f>IFERROR(K26/I26,0)</f>
        <v>9500.0</v>
      </c>
      <c r="P26" s="3" t="s">
        <v>146</v>
      </c>
      <c r="Q26" s="3" t="s">
        <v>149</v>
      </c>
      <c r="R26" s="14">
        <v>1</v>
      </c>
      <c r="S26" s="3" t="s">
        <v>118</v>
      </c>
    </row>
    <row r="27" spans="1:19" ht="20" customHeight="1">
      <c r="A27" s="14">
        <v>1026</v>
      </c>
      <c r="B27" s="17">
        <v>45759</v>
      </c>
      <c r="C27" s="3" t="s">
        <v>96</v>
      </c>
      <c r="D27" s="3" t="s">
        <v>120</v>
      </c>
      <c r="E27" s="3" t="s">
        <v>97</v>
      </c>
      <c r="F27" s="3" t="s">
        <v>65</v>
      </c>
      <c r="G27" s="3" t="s">
        <v>17</v>
      </c>
      <c r="H27" s="3" t="s">
        <v>23</v>
      </c>
      <c r="I27" s="14">
        <v>2</v>
      </c>
      <c r="J27" s="14">
        <v>19000</v>
      </c>
      <c r="K27" s="14">
        <f>I27*J27</f>
        <v>38000</v>
      </c>
      <c r="L27" s="14">
        <v>32000</v>
      </c>
      <c r="M27" s="14">
        <f>K27-L27</f>
        <v>6000</v>
      </c>
      <c r="N27" s="15">
        <f>IFERROR(M27/K27,0)</f>
        <v>0.15789473684210525</v>
      </c>
      <c r="O27" s="16">
        <f>IFERROR(K27/I27,0)</f>
        <v>19000.0</v>
      </c>
      <c r="P27" s="3" t="s">
        <v>146</v>
      </c>
      <c r="Q27" s="3" t="s">
        <v>150</v>
      </c>
      <c r="R27" s="14">
        <v>1</v>
      </c>
      <c r="S27" s="3" t="s">
        <v>133</v>
      </c>
    </row>
    <row r="28" spans="1:19" ht="20" customHeight="1">
      <c r="A28" s="14">
        <v>1027</v>
      </c>
      <c r="B28" s="17">
        <v>45763</v>
      </c>
      <c r="C28" s="3" t="s">
        <v>98</v>
      </c>
      <c r="D28" s="3" t="s">
        <v>99</v>
      </c>
      <c r="E28" s="3" t="s">
        <v>100</v>
      </c>
      <c r="F28" s="3" t="s">
        <v>46</v>
      </c>
      <c r="G28" s="3" t="s">
        <v>17</v>
      </c>
      <c r="H28" s="3" t="s">
        <v>28</v>
      </c>
      <c r="I28" s="14">
        <v>5</v>
      </c>
      <c r="J28" s="14">
        <v>3000</v>
      </c>
      <c r="K28" s="14">
        <f>I28*J28</f>
        <v>15000</v>
      </c>
      <c r="L28" s="14">
        <v>10000</v>
      </c>
      <c r="M28" s="14">
        <f>K28-L28</f>
        <v>5000</v>
      </c>
      <c r="N28" s="15">
        <f>IFERROR(M28/K28,0)</f>
        <v>0.3333333333333333</v>
      </c>
      <c r="O28" s="16">
        <f>IFERROR(K28/I28,0)</f>
        <v>3000.0</v>
      </c>
      <c r="P28" s="3" t="s">
        <v>146</v>
      </c>
      <c r="Q28" s="3" t="s">
        <v>151</v>
      </c>
      <c r="R28" s="14">
        <v>1</v>
      </c>
      <c r="S28" s="3" t="s">
        <v>118</v>
      </c>
    </row>
    <row r="29" spans="1:19" ht="20" customHeight="1">
      <c r="A29" s="14">
        <v>1028</v>
      </c>
      <c r="B29" s="17">
        <v>45767</v>
      </c>
      <c r="C29" s="3" t="s">
        <v>101</v>
      </c>
      <c r="D29" s="3" t="s">
        <v>102</v>
      </c>
      <c r="E29" s="3" t="s">
        <v>103</v>
      </c>
      <c r="F29" s="3" t="s">
        <v>42</v>
      </c>
      <c r="G29" s="3" t="s">
        <v>27</v>
      </c>
      <c r="H29" s="3" t="s">
        <v>33</v>
      </c>
      <c r="I29" s="14">
        <v>1</v>
      </c>
      <c r="J29" s="14">
        <v>45000</v>
      </c>
      <c r="K29" s="14">
        <f>I29*J29</f>
        <v>45000</v>
      </c>
      <c r="L29" s="14">
        <v>38000</v>
      </c>
      <c r="M29" s="14">
        <f>K29-L29</f>
        <v>7000</v>
      </c>
      <c r="N29" s="15">
        <f>IFERROR(M29/K29,0)</f>
        <v>0.15555555555555556</v>
      </c>
      <c r="O29" s="16">
        <f>IFERROR(K29/I29,0)</f>
        <v>45000.0</v>
      </c>
      <c r="P29" s="3" t="s">
        <v>146</v>
      </c>
      <c r="Q29" s="3" t="s">
        <v>152</v>
      </c>
      <c r="R29" s="14">
        <v>1</v>
      </c>
      <c r="S29" s="3" t="s">
        <v>118</v>
      </c>
    </row>
    <row r="30" spans="1:19" ht="20" customHeight="1">
      <c r="A30" s="14">
        <v>1029</v>
      </c>
      <c r="B30" s="17">
        <v>45407</v>
      </c>
      <c r="C30" s="3" t="s">
        <v>104</v>
      </c>
      <c r="D30" s="3" t="s">
        <v>105</v>
      </c>
      <c r="E30" s="3" t="s">
        <v>106</v>
      </c>
      <c r="F30" s="3" t="s">
        <v>37</v>
      </c>
      <c r="G30" s="3" t="s">
        <v>17</v>
      </c>
      <c r="H30" s="3" t="s">
        <v>18</v>
      </c>
      <c r="I30" s="14">
        <v>3</v>
      </c>
      <c r="J30" s="14">
        <v>21000</v>
      </c>
      <c r="K30" s="14">
        <f>I30*J30</f>
        <v>63000</v>
      </c>
      <c r="L30" s="14">
        <v>54000</v>
      </c>
      <c r="M30" s="14">
        <f>K30-L30</f>
        <v>9000</v>
      </c>
      <c r="N30" s="15">
        <f>IFERROR(M30/K30,0)</f>
        <v>0.14285714285714285</v>
      </c>
      <c r="O30" s="16">
        <f>IFERROR(K30/I30,0)</f>
        <v>21000.0</v>
      </c>
      <c r="P30" s="3" t="s">
        <v>153</v>
      </c>
      <c r="Q30" s="3" t="s">
        <v>154</v>
      </c>
      <c r="R30" s="14">
        <v>1</v>
      </c>
      <c r="S30" s="3" t="s">
        <v>118</v>
      </c>
    </row>
    <row r="31" spans="1:19" ht="20" customHeight="1">
      <c r="A31" s="14">
        <v>1030</v>
      </c>
      <c r="B31" s="17">
        <v>45775</v>
      </c>
      <c r="C31" s="3" t="s">
        <v>107</v>
      </c>
      <c r="D31" s="3" t="s">
        <v>108</v>
      </c>
      <c r="E31" s="3" t="s">
        <v>109</v>
      </c>
      <c r="F31" s="3" t="s">
        <v>61</v>
      </c>
      <c r="G31" s="3" t="s">
        <v>27</v>
      </c>
      <c r="H31" s="3" t="s">
        <v>23</v>
      </c>
      <c r="I31" s="14">
        <v>2</v>
      </c>
      <c r="J31" s="14">
        <v>7500</v>
      </c>
      <c r="K31" s="14">
        <f>I31*J31</f>
        <v>15000</v>
      </c>
      <c r="L31" s="14">
        <v>10000</v>
      </c>
      <c r="M31" s="14">
        <f>K31-L31</f>
        <v>5000</v>
      </c>
      <c r="N31" s="15">
        <f>IFERROR(M31/K31,0)</f>
        <v>0.3333333333333333</v>
      </c>
      <c r="O31" s="16">
        <f>IFERROR(K31/I31,0)</f>
        <v>7500.0</v>
      </c>
      <c r="P31" s="3" t="s">
        <v>146</v>
      </c>
      <c r="Q31" s="3" t="s">
        <v>155</v>
      </c>
      <c r="R31" s="14">
        <v>1</v>
      </c>
      <c r="S31" s="3" t="s">
        <v>118</v>
      </c>
    </row>
    <row r="32" spans="1:19" ht="20" customHeight="1">
      <c r="A32" s="14">
        <v>1003</v>
      </c>
      <c r="B32" s="17">
        <v>45665</v>
      </c>
      <c r="C32" s="3" t="s">
        <v>24</v>
      </c>
      <c r="D32" s="3" t="s">
        <v>120</v>
      </c>
      <c r="E32" s="3" t="s">
        <v>25</v>
      </c>
      <c r="F32" s="3" t="s">
        <v>26</v>
      </c>
      <c r="G32" s="3" t="s">
        <v>27</v>
      </c>
      <c r="H32" s="3" t="s">
        <v>28</v>
      </c>
      <c r="I32" s="14">
        <v>3</v>
      </c>
      <c r="J32" s="14">
        <v>4500</v>
      </c>
      <c r="K32" s="14">
        <f>I32*J32</f>
        <v>13500</v>
      </c>
      <c r="L32" s="14">
        <v>9000</v>
      </c>
      <c r="M32" s="14">
        <f>K32-L32</f>
        <v>4500</v>
      </c>
      <c r="N32" s="15">
        <f>IFERROR(M32/K32,0)</f>
        <v>0.3333333333333333</v>
      </c>
      <c r="O32" s="16">
        <f>IFERROR(K32/I32,0)</f>
        <v>4500.0</v>
      </c>
      <c r="P32" s="3" t="s">
        <v>116</v>
      </c>
      <c r="Q32" s="3" t="s">
        <v>121</v>
      </c>
      <c r="R32" s="14">
        <v>1</v>
      </c>
      <c r="S32" s="3" t="s">
        <v>122</v>
      </c>
    </row>
    <row r="33" spans="1:19" ht="20" customHeight="1">
      <c r="A33" s="14">
        <v>1004</v>
      </c>
      <c r="B33" s="17">
        <v>45669</v>
      </c>
      <c r="C33" s="3" t="s">
        <v>29</v>
      </c>
      <c r="D33" s="3" t="s">
        <v>30</v>
      </c>
      <c r="E33" s="3" t="s">
        <v>31</v>
      </c>
      <c r="F33" s="3" t="s">
        <v>32</v>
      </c>
      <c r="G33" s="3" t="s">
        <v>27</v>
      </c>
      <c r="H33" s="3" t="s">
        <v>33</v>
      </c>
      <c r="I33" s="14">
        <v>2</v>
      </c>
      <c r="J33" s="14">
        <v>7000</v>
      </c>
      <c r="K33" s="14">
        <f>I33*J33</f>
        <v>14000</v>
      </c>
      <c r="L33" s="14">
        <v>15000</v>
      </c>
      <c r="M33" s="14">
        <f>K33-L33</f>
        <v>-1000</v>
      </c>
      <c r="N33" s="15">
        <f>IFERROR(M33/K33,0)</f>
        <v>-0.07142857142857142</v>
      </c>
      <c r="O33" s="16">
        <f>IFERROR(K33/I33,0)</f>
        <v>7000.0</v>
      </c>
      <c r="P33" s="3" t="s">
        <v>116</v>
      </c>
      <c r="Q33" s="3" t="s">
        <v>123</v>
      </c>
      <c r="R33" s="14">
        <v>1</v>
      </c>
      <c r="S33" s="3" t="s">
        <v>122</v>
      </c>
    </row>
    <row r="34" spans="1:19" ht="20" customHeight="1">
      <c r="A34" s="14">
        <v>1005</v>
      </c>
      <c r="B34" s="17">
        <v>45306</v>
      </c>
      <c r="C34" s="3" t="s">
        <v>34</v>
      </c>
      <c r="D34" s="3" t="s">
        <v>35</v>
      </c>
      <c r="E34" s="3" t="s">
        <v>36</v>
      </c>
      <c r="F34" s="3" t="s">
        <v>37</v>
      </c>
      <c r="G34" s="3" t="s">
        <v>17</v>
      </c>
      <c r="H34" s="3" t="s">
        <v>18</v>
      </c>
      <c r="I34" s="14">
        <v>4</v>
      </c>
      <c r="J34" s="14">
        <v>20000</v>
      </c>
      <c r="K34" s="14">
        <f>I34*J34</f>
        <v>80000</v>
      </c>
      <c r="L34" s="14">
        <v>68000</v>
      </c>
      <c r="M34" s="14">
        <f>K34-L34</f>
        <v>12000</v>
      </c>
      <c r="N34" s="15">
        <f>IFERROR(M34/K34,0)</f>
        <v>0.15</v>
      </c>
      <c r="O34" s="16">
        <f>IFERROR(K34/I34,0)</f>
        <v>20000.0</v>
      </c>
      <c r="P34" s="3" t="s">
        <v>156</v>
      </c>
      <c r="Q34" s="3" t="s">
        <v>124</v>
      </c>
      <c r="R34" s="14">
        <v>1</v>
      </c>
      <c r="S34" s="3" t="s">
        <v>122</v>
      </c>
    </row>
  </sheetData>
  <conditionalFormatting sqref="K2:M34">
    <cfRule type="cellIs" dxfId="0" priority="1" operator="lessThan">
      <formula>0</formula>
    </cfRule>
  </conditionalFormatting>
  <pageMargins left="0.7" right="0.7" top="0.75" bottom="0.75" header="0.3" footer="0.3"/>
  <pageSetup paperSize="9" fitToHeight="0" orientation="landscape"/>
  <headerFooter>
    <oddFooter>&amp;LSales analysis | Source: supplied workbook&amp;RPage &amp;P of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00A99D"/>
    <pageSetUpPr fitToPage="1"/>
  </sheetPr>
  <dimension ref="A1:M34"/>
  <sheetViews>
    <sheetView showGridLines="0" zoomScale="90" zoomScaleNormal="90" workbookViewId="0">
      <pane ySplit="1" topLeftCell="A2" activePane="bottomLeft" state="frozen"/>
      <selection pane="bottomLeft"/>
    </sheetView>
  </sheetViews>
  <sheetFormatPr defaultRowHeight="20" customHeight="1"/>
  <cols>
    <col min="1" max="13" width="16.7109375" customWidth="1"/>
  </cols>
  <sheetData>
    <row r="1" spans="1:13" ht="30" customHeight="1">
      <c r="A1" t="s">
        <v>0</v>
      </c>
      <c r="B1" t="s">
        <v>1</v>
      </c>
      <c r="C1" t="s">
        <v>2</v>
      </c>
      <c r="D1" t="s">
        <v>3</v>
      </c>
      <c r="E1" t="s">
        <v>4</v>
      </c>
      <c r="F1" t="s">
        <v>5</v>
      </c>
      <c r="G1" t="s">
        <v>6</v>
      </c>
      <c r="H1" t="s">
        <v>7</v>
      </c>
      <c r="I1" t="s">
        <v>8</v>
      </c>
      <c r="J1" t="s">
        <v>9</v>
      </c>
      <c r="K1" t="s">
        <v>10</v>
      </c>
      <c r="L1" t="s">
        <v>11</v>
      </c>
      <c r="M1" t="s">
        <v>12</v>
      </c>
    </row>
    <row r="2" spans="1:13" ht="20" customHeight="1">
      <c r="A2" s="14">
        <v>1001</v>
      </c>
      <c r="B2" s="17">
        <v>45659</v>
      </c>
      <c r="C2" s="3" t="s">
        <v>13</v>
      </c>
      <c r="D2" s="3" t="s">
        <v>14</v>
      </c>
      <c r="E2" s="3" t="s">
        <v>15</v>
      </c>
      <c r="F2" s="3" t="s">
        <v>16</v>
      </c>
      <c r="G2" s="3" t="s">
        <v>17</v>
      </c>
      <c r="H2" s="3" t="s">
        <v>18</v>
      </c>
      <c r="I2" s="14">
        <v>2</v>
      </c>
      <c r="J2" s="14">
        <v>55000</v>
      </c>
      <c r="K2" s="14">
        <v>110000</v>
      </c>
      <c r="L2" s="14">
        <v>95000</v>
      </c>
      <c r="M2" s="14">
        <v>15000</v>
      </c>
    </row>
    <row r="3" spans="1:13" ht="20" customHeight="1">
      <c r="A3" s="14">
        <v>1002</v>
      </c>
      <c r="B3" s="17">
        <v>45660</v>
      </c>
      <c r="C3" s="3" t="s">
        <v>19</v>
      </c>
      <c r="D3" s="3" t="s">
        <v>20</v>
      </c>
      <c r="E3" s="3" t="s">
        <v>21</v>
      </c>
      <c r="F3" s="3" t="s">
        <v>22</v>
      </c>
      <c r="G3" s="3" t="s">
        <v>17</v>
      </c>
      <c r="H3" s="3" t="s">
        <v>23</v>
      </c>
      <c r="I3" s="14">
        <v>5</v>
      </c>
      <c r="J3" s="14">
        <v>800</v>
      </c>
      <c r="K3" s="14">
        <v>4000</v>
      </c>
      <c r="L3" s="14">
        <v>2500</v>
      </c>
      <c r="M3" s="14">
        <v>1500</v>
      </c>
    </row>
    <row r="4" spans="1:13" ht="20" customHeight="1">
      <c r="A4" s="14">
        <v>1003</v>
      </c>
      <c r="B4" s="17">
        <v>45659</v>
      </c>
      <c r="C4" s="3" t="s">
        <v>24</v>
      </c>
      <c r="D4" s="14"/>
      <c r="E4" s="3" t="s">
        <v>25</v>
      </c>
      <c r="F4" s="3" t="s">
        <v>26</v>
      </c>
      <c r="G4" s="3" t="s">
        <v>27</v>
      </c>
      <c r="H4" s="3" t="s">
        <v>28</v>
      </c>
      <c r="I4" s="14">
        <v>3</v>
      </c>
      <c r="J4" s="14">
        <v>4500</v>
      </c>
      <c r="K4" s="14">
        <v>15500</v>
      </c>
      <c r="L4" s="14">
        <v>9000</v>
      </c>
      <c r="M4" s="14">
        <v>4500</v>
      </c>
    </row>
    <row r="5" spans="1:13" ht="20" customHeight="1">
      <c r="A5" s="14">
        <v>1004</v>
      </c>
      <c r="B5" s="17">
        <v>45669</v>
      </c>
      <c r="C5" s="3" t="s">
        <v>29</v>
      </c>
      <c r="D5" s="3" t="s">
        <v>30</v>
      </c>
      <c r="E5" s="3" t="s">
        <v>31</v>
      </c>
      <c r="F5" s="3" t="s">
        <v>32</v>
      </c>
      <c r="G5" s="3" t="s">
        <v>27</v>
      </c>
      <c r="H5" s="3" t="s">
        <v>33</v>
      </c>
      <c r="I5" s="14">
        <v>2</v>
      </c>
      <c r="J5" s="14">
        <v>7000</v>
      </c>
      <c r="K5" s="14">
        <v>14000</v>
      </c>
      <c r="L5" s="14">
        <v>10000</v>
      </c>
      <c r="M5" s="14">
        <v>4000</v>
      </c>
    </row>
    <row r="6" spans="1:13" ht="20" customHeight="1">
      <c r="A6" s="14">
        <v>1005</v>
      </c>
      <c r="B6" s="17">
        <v>45672</v>
      </c>
      <c r="C6" s="3" t="s">
        <v>34</v>
      </c>
      <c r="D6" s="3" t="s">
        <v>35</v>
      </c>
      <c r="E6" s="3" t="s">
        <v>36</v>
      </c>
      <c r="F6" s="3" t="s">
        <v>37</v>
      </c>
      <c r="G6" s="3" t="s">
        <v>17</v>
      </c>
      <c r="H6" s="3" t="s">
        <v>18</v>
      </c>
      <c r="I6" s="14">
        <v>4</v>
      </c>
      <c r="J6" s="14">
        <v>20000</v>
      </c>
      <c r="K6" s="14">
        <v>15000</v>
      </c>
      <c r="L6" s="14">
        <v>68000</v>
      </c>
      <c r="M6" s="14">
        <v>4100</v>
      </c>
    </row>
    <row r="7" spans="1:13" ht="20" customHeight="1">
      <c r="A7" s="14">
        <v>1006</v>
      </c>
      <c r="B7" s="17">
        <v>46040</v>
      </c>
      <c r="C7" s="3" t="s">
        <v>13</v>
      </c>
      <c r="D7" s="3" t="s">
        <v>14</v>
      </c>
      <c r="E7" s="3" t="s">
        <v>15</v>
      </c>
      <c r="F7" s="3" t="s">
        <v>38</v>
      </c>
      <c r="G7" s="3" t="s">
        <v>17</v>
      </c>
      <c r="H7" s="3" t="s">
        <v>23</v>
      </c>
      <c r="I7" s="14">
        <v>6</v>
      </c>
      <c r="J7" s="14">
        <v>1200</v>
      </c>
      <c r="K7" s="14">
        <v>147200</v>
      </c>
      <c r="L7" s="14">
        <v>4000</v>
      </c>
      <c r="M7" s="14">
        <v>3200</v>
      </c>
    </row>
    <row r="8" spans="1:13" ht="20" customHeight="1">
      <c r="A8" s="14">
        <v>1007</v>
      </c>
      <c r="B8" s="17">
        <v>45677</v>
      </c>
      <c r="C8" s="3" t="s">
        <v>39</v>
      </c>
      <c r="D8" s="3" t="s">
        <v>40</v>
      </c>
      <c r="E8" s="3" t="s">
        <v>41</v>
      </c>
      <c r="F8" s="3" t="s">
        <v>42</v>
      </c>
      <c r="G8" s="3" t="s">
        <v>27</v>
      </c>
      <c r="H8" s="3" t="s">
        <v>28</v>
      </c>
      <c r="I8" s="14">
        <v>1</v>
      </c>
      <c r="J8" s="14">
        <v>35000</v>
      </c>
      <c r="K8" s="14">
        <v>35000</v>
      </c>
      <c r="L8" s="14">
        <v>28000</v>
      </c>
      <c r="M8" s="14">
        <v>7000</v>
      </c>
    </row>
    <row r="9" spans="1:13" ht="20" customHeight="1">
      <c r="A9" s="14">
        <v>1008</v>
      </c>
      <c r="B9" s="17">
        <v>45681</v>
      </c>
      <c r="C9" s="3" t="s">
        <v>43</v>
      </c>
      <c r="D9" s="3" t="s">
        <v>44</v>
      </c>
      <c r="E9" s="3" t="s">
        <v>45</v>
      </c>
      <c r="F9" s="3" t="s">
        <v>46</v>
      </c>
      <c r="G9" s="3" t="s">
        <v>17</v>
      </c>
      <c r="H9" s="3" t="s">
        <v>33</v>
      </c>
      <c r="I9" s="14">
        <v>3</v>
      </c>
      <c r="J9" s="14">
        <v>2500</v>
      </c>
      <c r="K9" s="14">
        <v>7500</v>
      </c>
      <c r="L9" s="14">
        <v>4500</v>
      </c>
      <c r="M9" s="14">
        <v>3000</v>
      </c>
    </row>
    <row r="10" spans="1:13" ht="20" customHeight="1">
      <c r="A10" s="14">
        <v>1009</v>
      </c>
      <c r="B10" s="17">
        <v>46055</v>
      </c>
      <c r="C10" s="3" t="s">
        <v>47</v>
      </c>
      <c r="D10" s="3" t="s">
        <v>48</v>
      </c>
      <c r="E10" s="3" t="s">
        <v>49</v>
      </c>
      <c r="F10" s="3" t="s">
        <v>16</v>
      </c>
      <c r="G10" s="3" t="s">
        <v>17</v>
      </c>
      <c r="H10" s="3" t="s">
        <v>18</v>
      </c>
      <c r="I10" s="14">
        <v>1</v>
      </c>
      <c r="J10" s="14">
        <v>60000</v>
      </c>
      <c r="K10" s="14">
        <v>60000</v>
      </c>
      <c r="L10" s="14">
        <v>52000</v>
      </c>
      <c r="M10" s="14">
        <v>8000</v>
      </c>
    </row>
    <row r="11" spans="1:13" ht="20" customHeight="1">
      <c r="A11" s="14">
        <v>1010</v>
      </c>
      <c r="B11" s="17">
        <v>45693</v>
      </c>
      <c r="C11" s="3" t="s">
        <v>50</v>
      </c>
      <c r="D11" s="3" t="s">
        <v>51</v>
      </c>
      <c r="E11" s="3" t="s">
        <v>52</v>
      </c>
      <c r="F11" s="3" t="s">
        <v>53</v>
      </c>
      <c r="G11" s="3" t="s">
        <v>27</v>
      </c>
      <c r="H11" s="3" t="s">
        <v>23</v>
      </c>
      <c r="I11" s="14">
        <v>2</v>
      </c>
      <c r="J11" s="14">
        <v>8500</v>
      </c>
      <c r="K11" s="14"/>
      <c r="L11" s="14">
        <v>12000</v>
      </c>
      <c r="M11" s="14">
        <v>5000</v>
      </c>
    </row>
    <row r="12" spans="1:13" ht="20" customHeight="1">
      <c r="A12" s="14">
        <v>1011</v>
      </c>
      <c r="B12" s="17">
        <v>45696</v>
      </c>
      <c r="C12" s="3" t="s">
        <v>54</v>
      </c>
      <c r="D12" s="14"/>
      <c r="E12" s="3" t="s">
        <v>55</v>
      </c>
      <c r="F12" s="3" t="s">
        <v>56</v>
      </c>
      <c r="G12" s="3" t="s">
        <v>17</v>
      </c>
      <c r="H12" s="3" t="s">
        <v>28</v>
      </c>
      <c r="I12" s="14">
        <v>2</v>
      </c>
      <c r="J12" s="14">
        <v>15000</v>
      </c>
      <c r="K12" s="14">
        <v>30000</v>
      </c>
      <c r="L12" s="14">
        <v>25000</v>
      </c>
      <c r="M12" s="14">
        <v>5000</v>
      </c>
    </row>
    <row r="13" spans="1:13" ht="20" customHeight="1">
      <c r="A13" s="14">
        <v>1012</v>
      </c>
      <c r="B13" s="17">
        <v>45693</v>
      </c>
      <c r="C13" s="3" t="s">
        <v>19</v>
      </c>
      <c r="D13" s="3" t="s">
        <v>20</v>
      </c>
      <c r="E13" s="3" t="s">
        <v>21</v>
      </c>
      <c r="F13" s="3" t="s">
        <v>57</v>
      </c>
      <c r="G13" s="3" t="s">
        <v>17</v>
      </c>
      <c r="H13" s="3" t="s">
        <v>33</v>
      </c>
      <c r="I13" s="14">
        <v>1</v>
      </c>
      <c r="J13" s="14">
        <v>12000</v>
      </c>
      <c r="K13" s="14">
        <v>12000</v>
      </c>
      <c r="L13" s="14">
        <v>9000</v>
      </c>
      <c r="M13" s="14">
        <v>3000</v>
      </c>
    </row>
    <row r="14" spans="1:13" ht="20" customHeight="1">
      <c r="A14" s="14">
        <v>1013</v>
      </c>
      <c r="B14" s="17">
        <v>45702</v>
      </c>
      <c r="C14" s="3" t="s">
        <v>58</v>
      </c>
      <c r="D14" s="3" t="s">
        <v>59</v>
      </c>
      <c r="E14" s="3" t="s">
        <v>60</v>
      </c>
      <c r="F14" s="3" t="s">
        <v>61</v>
      </c>
      <c r="G14" s="3" t="s">
        <v>27</v>
      </c>
      <c r="H14" s="3" t="s">
        <v>18</v>
      </c>
      <c r="I14" s="14">
        <v>2</v>
      </c>
      <c r="J14" s="14">
        <v>6500</v>
      </c>
      <c r="K14" s="14">
        <v>35000</v>
      </c>
      <c r="L14" s="14">
        <v>9000</v>
      </c>
      <c r="M14" s="14">
        <v>4000</v>
      </c>
    </row>
    <row r="15" spans="1:13" ht="20" customHeight="1">
      <c r="A15" s="14">
        <v>1014</v>
      </c>
      <c r="B15" s="17">
        <v>45706</v>
      </c>
      <c r="C15" s="3" t="s">
        <v>62</v>
      </c>
      <c r="D15" s="3" t="s">
        <v>63</v>
      </c>
      <c r="E15" s="3" t="s">
        <v>64</v>
      </c>
      <c r="F15" s="3" t="s">
        <v>65</v>
      </c>
      <c r="G15" s="3" t="s">
        <v>17</v>
      </c>
      <c r="H15" s="3" t="s">
        <v>23</v>
      </c>
      <c r="I15" s="14">
        <v>3</v>
      </c>
      <c r="J15" s="14">
        <v>18000</v>
      </c>
      <c r="K15" s="14">
        <v>54000</v>
      </c>
      <c r="L15" s="14">
        <v>45000</v>
      </c>
      <c r="M15" s="14">
        <v>9000</v>
      </c>
    </row>
    <row r="16" spans="1:13" ht="20" customHeight="1">
      <c r="A16" s="14">
        <v>1015</v>
      </c>
      <c r="B16" s="17">
        <v>45710</v>
      </c>
      <c r="C16" s="3" t="s">
        <v>66</v>
      </c>
      <c r="D16" s="3" t="s">
        <v>67</v>
      </c>
      <c r="E16" s="3" t="s">
        <v>68</v>
      </c>
      <c r="F16" s="3" t="s">
        <v>26</v>
      </c>
      <c r="G16" s="3" t="s">
        <v>27</v>
      </c>
      <c r="H16" s="3" t="s">
        <v>28</v>
      </c>
      <c r="I16" s="14">
        <v>5</v>
      </c>
      <c r="J16" s="14">
        <v>4000</v>
      </c>
      <c r="K16" s="14"/>
      <c r="L16" s="14">
        <v>15000</v>
      </c>
      <c r="M16" s="14">
        <v>2500</v>
      </c>
    </row>
    <row r="17" spans="1:13" ht="20" customHeight="1">
      <c r="A17" s="14">
        <v>1016</v>
      </c>
      <c r="B17" s="17">
        <v>45717</v>
      </c>
      <c r="C17" s="3" t="s">
        <v>69</v>
      </c>
      <c r="D17" s="3" t="s">
        <v>70</v>
      </c>
      <c r="E17" s="3" t="s">
        <v>71</v>
      </c>
      <c r="F17" s="3" t="s">
        <v>37</v>
      </c>
      <c r="G17" s="3" t="s">
        <v>17</v>
      </c>
      <c r="H17" s="3" t="s">
        <v>33</v>
      </c>
      <c r="I17" s="14">
        <v>2</v>
      </c>
      <c r="J17" s="14">
        <v>22000</v>
      </c>
      <c r="K17" s="14">
        <v>44000</v>
      </c>
      <c r="L17" s="14">
        <v>37000</v>
      </c>
      <c r="M17" s="14">
        <v>7000</v>
      </c>
    </row>
    <row r="18" spans="1:13" ht="20" customHeight="1">
      <c r="A18" s="14">
        <v>1017</v>
      </c>
      <c r="B18" s="17">
        <v>45327</v>
      </c>
      <c r="C18" s="3" t="s">
        <v>72</v>
      </c>
      <c r="D18" s="3" t="s">
        <v>73</v>
      </c>
      <c r="E18" s="3" t="s">
        <v>74</v>
      </c>
      <c r="F18" s="3" t="s">
        <v>42</v>
      </c>
      <c r="G18" s="3" t="s">
        <v>27</v>
      </c>
      <c r="H18" s="3" t="s">
        <v>18</v>
      </c>
      <c r="I18" s="14">
        <v>1</v>
      </c>
      <c r="J18" s="14">
        <v>42000</v>
      </c>
      <c r="K18" s="14">
        <v>42000</v>
      </c>
      <c r="L18" s="14">
        <v>35000</v>
      </c>
      <c r="M18" s="14">
        <v>7000</v>
      </c>
    </row>
    <row r="19" spans="1:13" ht="20" customHeight="1">
      <c r="A19" s="14">
        <v>1018</v>
      </c>
      <c r="B19" s="17">
        <v>45724</v>
      </c>
      <c r="C19" s="3" t="s">
        <v>24</v>
      </c>
      <c r="D19" s="14"/>
      <c r="E19" s="3" t="s">
        <v>25</v>
      </c>
      <c r="F19" s="3" t="s">
        <v>38</v>
      </c>
      <c r="G19" s="3" t="s">
        <v>17</v>
      </c>
      <c r="H19" s="3" t="s">
        <v>23</v>
      </c>
      <c r="I19" s="14">
        <v>4</v>
      </c>
      <c r="J19" s="14">
        <v>1500</v>
      </c>
      <c r="K19" s="14">
        <v>6000</v>
      </c>
      <c r="L19" s="14">
        <v>3500</v>
      </c>
      <c r="M19" s="14">
        <v>-2600</v>
      </c>
    </row>
    <row r="20" spans="1:13" ht="20" customHeight="1">
      <c r="A20" s="14">
        <v>1019</v>
      </c>
      <c r="B20" s="17">
        <v>45728</v>
      </c>
      <c r="C20" s="3" t="s">
        <v>75</v>
      </c>
      <c r="D20" s="3" t="s">
        <v>76</v>
      </c>
      <c r="E20" s="3" t="s">
        <v>77</v>
      </c>
      <c r="F20" s="3" t="s">
        <v>56</v>
      </c>
      <c r="G20" s="3" t="s">
        <v>17</v>
      </c>
      <c r="H20" s="3" t="s">
        <v>28</v>
      </c>
      <c r="I20" s="14">
        <v>3</v>
      </c>
      <c r="J20" s="14">
        <v>14000</v>
      </c>
      <c r="K20" s="14">
        <v>42000</v>
      </c>
      <c r="L20" s="14">
        <v>35000</v>
      </c>
      <c r="M20" s="14">
        <v>7000</v>
      </c>
    </row>
    <row r="21" spans="1:13" ht="20" customHeight="1">
      <c r="A21" s="14">
        <v>1020</v>
      </c>
      <c r="B21" s="17">
        <v>45731</v>
      </c>
      <c r="C21" s="3" t="s">
        <v>78</v>
      </c>
      <c r="D21" s="3" t="s">
        <v>79</v>
      </c>
      <c r="E21" s="3" t="s">
        <v>80</v>
      </c>
      <c r="F21" s="3" t="s">
        <v>32</v>
      </c>
      <c r="G21" s="3" t="s">
        <v>27</v>
      </c>
      <c r="H21" s="3" t="s">
        <v>33</v>
      </c>
      <c r="I21" s="14">
        <v>2</v>
      </c>
      <c r="J21" s="14">
        <v>9000</v>
      </c>
      <c r="K21" s="14">
        <v>18000</v>
      </c>
      <c r="L21" s="14">
        <v>14000</v>
      </c>
      <c r="M21" s="14">
        <v>4000</v>
      </c>
    </row>
    <row r="22" spans="1:13" ht="20" customHeight="1">
      <c r="A22" s="14">
        <v>1021</v>
      </c>
      <c r="B22" s="17">
        <v>45736</v>
      </c>
      <c r="C22" s="3" t="s">
        <v>81</v>
      </c>
      <c r="D22" s="3" t="s">
        <v>82</v>
      </c>
      <c r="E22" s="3" t="s">
        <v>83</v>
      </c>
      <c r="F22" s="3" t="s">
        <v>16</v>
      </c>
      <c r="G22" s="3" t="s">
        <v>17</v>
      </c>
      <c r="H22" s="3" t="s">
        <v>18</v>
      </c>
      <c r="I22" s="14">
        <v>1</v>
      </c>
      <c r="J22" s="14">
        <v>65000</v>
      </c>
      <c r="K22" s="14">
        <v>65000</v>
      </c>
      <c r="L22" s="14">
        <v>58000</v>
      </c>
      <c r="M22" s="14">
        <v>7000</v>
      </c>
    </row>
    <row r="23" spans="1:13" ht="20" customHeight="1">
      <c r="A23" s="14">
        <v>1022</v>
      </c>
      <c r="B23" s="17">
        <v>45376</v>
      </c>
      <c r="C23" s="3" t="s">
        <v>84</v>
      </c>
      <c r="D23" s="3" t="s">
        <v>85</v>
      </c>
      <c r="E23" s="3" t="s">
        <v>86</v>
      </c>
      <c r="F23" s="3" t="s">
        <v>22</v>
      </c>
      <c r="G23" s="3" t="s">
        <v>17</v>
      </c>
      <c r="H23" s="3" t="s">
        <v>23</v>
      </c>
      <c r="I23" s="14">
        <v>10</v>
      </c>
      <c r="J23" s="14">
        <v>700</v>
      </c>
      <c r="K23" s="14">
        <v>7000</v>
      </c>
      <c r="L23" s="14">
        <v>4000</v>
      </c>
      <c r="M23" s="14">
        <v>3000</v>
      </c>
    </row>
    <row r="24" spans="1:13" ht="20" customHeight="1">
      <c r="A24" s="14">
        <v>1023</v>
      </c>
      <c r="B24" s="17">
        <v>45749</v>
      </c>
      <c r="C24" s="3" t="s">
        <v>87</v>
      </c>
      <c r="D24" s="3" t="s">
        <v>88</v>
      </c>
      <c r="E24" s="3" t="s">
        <v>89</v>
      </c>
      <c r="F24" s="3" t="s">
        <v>26</v>
      </c>
      <c r="G24" s="3" t="s">
        <v>27</v>
      </c>
      <c r="H24" s="3" t="s">
        <v>28</v>
      </c>
      <c r="I24" s="14">
        <v>6</v>
      </c>
      <c r="J24" s="14">
        <v>3500</v>
      </c>
      <c r="K24" s="14">
        <v>21000</v>
      </c>
      <c r="L24" s="14">
        <v>16000</v>
      </c>
      <c r="M24" s="14">
        <v>5000</v>
      </c>
    </row>
    <row r="25" spans="1:13" ht="20" customHeight="1">
      <c r="A25" s="14">
        <v>1024</v>
      </c>
      <c r="B25" s="17">
        <v>45752</v>
      </c>
      <c r="C25" s="3" t="s">
        <v>90</v>
      </c>
      <c r="D25" s="3" t="s">
        <v>91</v>
      </c>
      <c r="E25" s="3" t="s">
        <v>92</v>
      </c>
      <c r="F25" s="3" t="s">
        <v>57</v>
      </c>
      <c r="G25" s="3" t="s">
        <v>17</v>
      </c>
      <c r="H25" s="3" t="s">
        <v>33</v>
      </c>
      <c r="I25" s="14">
        <v>2</v>
      </c>
      <c r="J25" s="14">
        <v>11000</v>
      </c>
      <c r="K25" s="14">
        <v>122000</v>
      </c>
      <c r="L25" s="14">
        <v>17000</v>
      </c>
      <c r="M25" s="14">
        <v>5000</v>
      </c>
    </row>
    <row r="26" spans="1:13" ht="20" customHeight="1">
      <c r="A26" s="14">
        <v>1025</v>
      </c>
      <c r="B26" s="17">
        <v>45755</v>
      </c>
      <c r="C26" s="3" t="s">
        <v>93</v>
      </c>
      <c r="D26" s="3" t="s">
        <v>94</v>
      </c>
      <c r="E26" s="3" t="s">
        <v>95</v>
      </c>
      <c r="F26" s="3" t="s">
        <v>53</v>
      </c>
      <c r="G26" s="3" t="s">
        <v>27</v>
      </c>
      <c r="H26" s="3" t="s">
        <v>18</v>
      </c>
      <c r="I26" s="14">
        <v>1</v>
      </c>
      <c r="J26" s="14">
        <v>9500</v>
      </c>
      <c r="K26" s="14">
        <v>9500</v>
      </c>
      <c r="L26" s="14">
        <v>7000</v>
      </c>
      <c r="M26" s="14">
        <v>2500</v>
      </c>
    </row>
    <row r="27" spans="1:13" ht="20" customHeight="1">
      <c r="A27" s="14">
        <v>1026</v>
      </c>
      <c r="B27" s="17">
        <v>45759</v>
      </c>
      <c r="C27" s="3" t="s">
        <v>96</v>
      </c>
      <c r="D27" s="14"/>
      <c r="E27" s="3" t="s">
        <v>97</v>
      </c>
      <c r="F27" s="3" t="s">
        <v>65</v>
      </c>
      <c r="G27" s="3" t="s">
        <v>17</v>
      </c>
      <c r="H27" s="3" t="s">
        <v>23</v>
      </c>
      <c r="I27" s="14">
        <v>2</v>
      </c>
      <c r="J27" s="14">
        <v>19000</v>
      </c>
      <c r="K27" s="14">
        <v>38000</v>
      </c>
      <c r="L27" s="14">
        <v>32000</v>
      </c>
      <c r="M27" s="14">
        <v>6000</v>
      </c>
    </row>
    <row r="28" spans="1:13" ht="20" customHeight="1">
      <c r="A28" s="14">
        <v>1027</v>
      </c>
      <c r="B28" s="17">
        <v>45763</v>
      </c>
      <c r="C28" s="3" t="s">
        <v>98</v>
      </c>
      <c r="D28" s="3" t="s">
        <v>99</v>
      </c>
      <c r="E28" s="3" t="s">
        <v>100</v>
      </c>
      <c r="F28" s="3" t="s">
        <v>46</v>
      </c>
      <c r="G28" s="3" t="s">
        <v>17</v>
      </c>
      <c r="H28" s="3" t="s">
        <v>28</v>
      </c>
      <c r="I28" s="14">
        <v>5</v>
      </c>
      <c r="J28" s="14">
        <v>3000</v>
      </c>
      <c r="K28" s="14">
        <v>15000</v>
      </c>
      <c r="L28" s="14">
        <v>10000</v>
      </c>
      <c r="M28" s="14">
        <v>5000</v>
      </c>
    </row>
    <row r="29" spans="1:13" ht="20" customHeight="1">
      <c r="A29" s="14">
        <v>1028</v>
      </c>
      <c r="B29" s="17">
        <v>45767</v>
      </c>
      <c r="C29" s="3" t="s">
        <v>101</v>
      </c>
      <c r="D29" s="3" t="s">
        <v>102</v>
      </c>
      <c r="E29" s="3" t="s">
        <v>103</v>
      </c>
      <c r="F29" s="3" t="s">
        <v>42</v>
      </c>
      <c r="G29" s="3" t="s">
        <v>27</v>
      </c>
      <c r="H29" s="3" t="s">
        <v>33</v>
      </c>
      <c r="I29" s="14">
        <v>1</v>
      </c>
      <c r="J29" s="14">
        <v>45000</v>
      </c>
      <c r="K29" s="14">
        <v>45000</v>
      </c>
      <c r="L29" s="14">
        <v>38000</v>
      </c>
      <c r="M29" s="14">
        <v>7000</v>
      </c>
    </row>
    <row r="30" spans="1:13" ht="20" customHeight="1">
      <c r="A30" s="14">
        <v>1029</v>
      </c>
      <c r="B30" s="17">
        <v>45407</v>
      </c>
      <c r="C30" s="3" t="s">
        <v>104</v>
      </c>
      <c r="D30" s="3" t="s">
        <v>105</v>
      </c>
      <c r="E30" s="3" t="s">
        <v>106</v>
      </c>
      <c r="F30" s="3" t="s">
        <v>37</v>
      </c>
      <c r="G30" s="3" t="s">
        <v>17</v>
      </c>
      <c r="H30" s="3" t="s">
        <v>18</v>
      </c>
      <c r="I30" s="14">
        <v>3</v>
      </c>
      <c r="J30" s="14">
        <v>21000</v>
      </c>
      <c r="K30" s="14">
        <v>63000</v>
      </c>
      <c r="L30" s="14">
        <v>54000</v>
      </c>
      <c r="M30" s="14">
        <v>9000</v>
      </c>
    </row>
    <row r="31" spans="1:13" ht="20" customHeight="1">
      <c r="A31" s="14">
        <v>1030</v>
      </c>
      <c r="B31" s="17">
        <v>45775</v>
      </c>
      <c r="C31" s="3" t="s">
        <v>107</v>
      </c>
      <c r="D31" s="3" t="s">
        <v>108</v>
      </c>
      <c r="E31" s="3" t="s">
        <v>109</v>
      </c>
      <c r="F31" s="3" t="s">
        <v>61</v>
      </c>
      <c r="G31" s="3" t="s">
        <v>27</v>
      </c>
      <c r="H31" s="3" t="s">
        <v>23</v>
      </c>
      <c r="I31" s="14">
        <v>2</v>
      </c>
      <c r="J31" s="14">
        <v>7500</v>
      </c>
      <c r="K31" s="14">
        <v>15000</v>
      </c>
      <c r="L31" s="14">
        <v>10000</v>
      </c>
      <c r="M31" s="14">
        <v>5000</v>
      </c>
    </row>
    <row r="32" spans="1:13" ht="20" customHeight="1">
      <c r="A32" s="14">
        <v>1003</v>
      </c>
      <c r="B32" s="17">
        <v>45665</v>
      </c>
      <c r="C32" s="3" t="s">
        <v>24</v>
      </c>
      <c r="D32" s="14"/>
      <c r="E32" s="3" t="s">
        <v>25</v>
      </c>
      <c r="F32" s="3" t="s">
        <v>26</v>
      </c>
      <c r="G32" s="3" t="s">
        <v>27</v>
      </c>
      <c r="H32" s="3" t="s">
        <v>28</v>
      </c>
      <c r="I32" s="14">
        <v>3</v>
      </c>
      <c r="J32" s="14">
        <v>4500</v>
      </c>
      <c r="K32" s="14">
        <v>13500</v>
      </c>
      <c r="L32" s="14">
        <v>9000</v>
      </c>
      <c r="M32" s="14">
        <v>4500</v>
      </c>
    </row>
    <row r="33" spans="1:13" ht="20" customHeight="1">
      <c r="A33" s="14">
        <v>1004</v>
      </c>
      <c r="B33" s="17">
        <v>45669</v>
      </c>
      <c r="C33" s="3" t="s">
        <v>29</v>
      </c>
      <c r="D33" s="3" t="s">
        <v>30</v>
      </c>
      <c r="E33" s="3" t="s">
        <v>31</v>
      </c>
      <c r="F33" s="3" t="s">
        <v>32</v>
      </c>
      <c r="G33" s="3" t="s">
        <v>27</v>
      </c>
      <c r="H33" s="3" t="s">
        <v>33</v>
      </c>
      <c r="I33" s="14">
        <v>2</v>
      </c>
      <c r="J33" s="14">
        <v>7000</v>
      </c>
      <c r="K33" s="14">
        <v>114000</v>
      </c>
      <c r="L33" s="14">
        <v>15000</v>
      </c>
      <c r="M33" s="14">
        <v>4000</v>
      </c>
    </row>
    <row r="34" spans="1:13" ht="20" customHeight="1">
      <c r="A34" s="14">
        <v>1005</v>
      </c>
      <c r="B34" s="17">
        <v>45306</v>
      </c>
      <c r="C34" s="3" t="s">
        <v>34</v>
      </c>
      <c r="D34" s="3" t="s">
        <v>35</v>
      </c>
      <c r="E34" s="3" t="s">
        <v>36</v>
      </c>
      <c r="F34" s="3" t="s">
        <v>37</v>
      </c>
      <c r="G34" s="3" t="s">
        <v>17</v>
      </c>
      <c r="H34" s="3" t="s">
        <v>18</v>
      </c>
      <c r="I34" s="14">
        <v>4</v>
      </c>
      <c r="J34" s="14">
        <v>20000</v>
      </c>
      <c r="K34" s="14">
        <v>80000</v>
      </c>
      <c r="L34" s="14">
        <v>68000</v>
      </c>
      <c r="M34" s="14">
        <v>12000</v>
      </c>
    </row>
  </sheetData>
  <pageMargins left="0.7" right="0.7" top="0.75" bottom="0.75" header="0.3" footer="0.3"/>
  <pageSetup paperSize="9" fitToHeight="0" orientation="landscape"/>
  <headerFooter>
    <oddFooter>&amp;LSales analysis | Source: supplied workbook&amp;RPage &amp;P of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00A99D"/>
    <pageSetUpPr fitToPage="1"/>
  </sheetPr>
  <dimension ref="A1:F35"/>
  <sheetViews>
    <sheetView showGridLines="0" zoomScale="90" zoomScaleNormal="90" workbookViewId="0">
      <pane ySplit="6" topLeftCell="A7" activePane="bottomLeft" state="frozen"/>
      <selection pane="bottomLeft"/>
    </sheetView>
  </sheetViews>
  <sheetFormatPr defaultRowHeight="20" customHeight="1"/>
  <cols>
    <col min="1" max="2" width="16.7109375" customWidth="1"/>
    <col min="3" max="3" width="23.7109375" customWidth="1"/>
    <col min="4" max="4" width="62.7109375" customWidth="1"/>
    <col min="5" max="5" width="16.7109375" customWidth="1"/>
    <col min="6" max="6" width="68.7109375" customWidth="1"/>
  </cols>
  <sheetData>
    <row r="1" spans="1:6" ht="28" customHeight="1">
      <c r="A1" s="1" t="s">
        <v>157</v>
      </c>
      <c r="B1" s="1"/>
      <c r="C1" s="1"/>
      <c r="D1" s="1"/>
      <c r="E1" s="1"/>
      <c r="F1" s="1"/>
    </row>
    <row r="2" spans="1:6" ht="20" customHeight="1">
      <c r="A2" s="1"/>
      <c r="B2" s="1"/>
      <c r="C2" s="1"/>
      <c r="D2" s="1"/>
      <c r="E2" s="1"/>
      <c r="F2" s="1"/>
    </row>
    <row r="3" spans="1:6" ht="20" customHeight="1">
      <c r="A3" s="2" t="s">
        <v>158</v>
      </c>
      <c r="B3" s="2"/>
      <c r="C3" s="2"/>
      <c r="D3" s="2"/>
      <c r="E3" s="2"/>
      <c r="F3" s="2"/>
    </row>
    <row r="4" spans="1:6" ht="20" customHeight="1">
      <c r="A4" s="2"/>
      <c r="B4" s="2"/>
      <c r="C4" s="2"/>
      <c r="D4" s="2"/>
      <c r="E4" s="2"/>
      <c r="F4" s="2"/>
    </row>
    <row r="6" spans="1:6" ht="30" customHeight="1">
      <c r="A6" t="s">
        <v>159</v>
      </c>
      <c r="B6" t="s">
        <v>0</v>
      </c>
      <c r="C6" t="s">
        <v>160</v>
      </c>
      <c r="D6" t="s">
        <v>161</v>
      </c>
      <c r="E6" t="s">
        <v>162</v>
      </c>
      <c r="F6" t="s">
        <v>163</v>
      </c>
    </row>
    <row r="7" spans="1:6" ht="32" customHeight="1">
      <c r="A7" s="14">
        <v>4</v>
      </c>
      <c r="B7" s="14">
        <v>1003</v>
      </c>
      <c r="C7" s="3" t="s">
        <v>164</v>
      </c>
      <c r="D7" s="3" t="s">
        <v>165</v>
      </c>
      <c r="E7" s="3" t="s">
        <v>166</v>
      </c>
      <c r="F7" s="3" t="s">
        <v>167</v>
      </c>
    </row>
    <row r="8" spans="1:6" ht="32" customHeight="1">
      <c r="A8" s="14">
        <v>4</v>
      </c>
      <c r="B8" s="14">
        <v>1003</v>
      </c>
      <c r="C8" s="3" t="s">
        <v>168</v>
      </c>
      <c r="D8" s="3" t="s">
        <v>169</v>
      </c>
      <c r="E8" s="3" t="s">
        <v>166</v>
      </c>
      <c r="F8" s="3" t="s">
        <v>170</v>
      </c>
    </row>
    <row r="9" spans="1:6" ht="32" customHeight="1">
      <c r="A9" s="14">
        <v>4</v>
      </c>
      <c r="B9" s="14">
        <v>1003</v>
      </c>
      <c r="C9" s="3" t="s">
        <v>171</v>
      </c>
      <c r="D9" s="3" t="s">
        <v>172</v>
      </c>
      <c r="E9" s="3" t="s">
        <v>173</v>
      </c>
      <c r="F9" s="3" t="s">
        <v>174</v>
      </c>
    </row>
    <row r="10" spans="1:6" ht="32" customHeight="1">
      <c r="A10" s="14">
        <v>5</v>
      </c>
      <c r="B10" s="14">
        <v>1004</v>
      </c>
      <c r="C10" s="3" t="s">
        <v>164</v>
      </c>
      <c r="D10" s="3" t="s">
        <v>165</v>
      </c>
      <c r="E10" s="3" t="s">
        <v>166</v>
      </c>
      <c r="F10" s="3" t="s">
        <v>167</v>
      </c>
    </row>
    <row r="11" spans="1:6" ht="32" customHeight="1">
      <c r="A11" s="14">
        <v>6</v>
      </c>
      <c r="B11" s="14">
        <v>1005</v>
      </c>
      <c r="C11" s="3" t="s">
        <v>164</v>
      </c>
      <c r="D11" s="3" t="s">
        <v>165</v>
      </c>
      <c r="E11" s="3" t="s">
        <v>166</v>
      </c>
      <c r="F11" s="3" t="s">
        <v>167</v>
      </c>
    </row>
    <row r="12" spans="1:6" ht="32" customHeight="1">
      <c r="A12" s="14">
        <v>6</v>
      </c>
      <c r="B12" s="14">
        <v>1005</v>
      </c>
      <c r="C12" s="3" t="s">
        <v>171</v>
      </c>
      <c r="D12" s="3" t="s">
        <v>175</v>
      </c>
      <c r="E12" s="3" t="s">
        <v>173</v>
      </c>
      <c r="F12" s="3" t="s">
        <v>174</v>
      </c>
    </row>
    <row r="13" spans="1:6" ht="32" customHeight="1">
      <c r="A13" s="14">
        <v>6</v>
      </c>
      <c r="B13" s="14">
        <v>1005</v>
      </c>
      <c r="C13" s="3" t="s">
        <v>176</v>
      </c>
      <c r="D13" s="3" t="s">
        <v>177</v>
      </c>
      <c r="E13" s="3" t="s">
        <v>173</v>
      </c>
      <c r="F13" s="3" t="s">
        <v>178</v>
      </c>
    </row>
    <row r="14" spans="1:6" ht="32" customHeight="1">
      <c r="A14" s="14">
        <v>7</v>
      </c>
      <c r="B14" s="14">
        <v>1006</v>
      </c>
      <c r="C14" s="3" t="s">
        <v>171</v>
      </c>
      <c r="D14" s="3" t="s">
        <v>179</v>
      </c>
      <c r="E14" s="3" t="s">
        <v>173</v>
      </c>
      <c r="F14" s="3" t="s">
        <v>174</v>
      </c>
    </row>
    <row r="15" spans="1:6" ht="32" customHeight="1">
      <c r="A15" s="14">
        <v>7</v>
      </c>
      <c r="B15" s="14">
        <v>1006</v>
      </c>
      <c r="C15" s="3" t="s">
        <v>180</v>
      </c>
      <c r="D15" s="3" t="s">
        <v>181</v>
      </c>
      <c r="E15" s="3" t="s">
        <v>182</v>
      </c>
      <c r="F15" s="3" t="s">
        <v>183</v>
      </c>
    </row>
    <row r="16" spans="1:6" ht="32" customHeight="1">
      <c r="A16" s="14">
        <v>10</v>
      </c>
      <c r="B16" s="14">
        <v>1009</v>
      </c>
      <c r="C16" s="3" t="s">
        <v>180</v>
      </c>
      <c r="D16" s="3" t="s">
        <v>184</v>
      </c>
      <c r="E16" s="3" t="s">
        <v>182</v>
      </c>
      <c r="F16" s="3" t="s">
        <v>183</v>
      </c>
    </row>
    <row r="17" spans="1:6" ht="32" customHeight="1">
      <c r="A17" s="14">
        <v>11</v>
      </c>
      <c r="B17" s="14">
        <v>1010</v>
      </c>
      <c r="C17" s="3" t="s">
        <v>171</v>
      </c>
      <c r="D17" s="3" t="s">
        <v>185</v>
      </c>
      <c r="E17" s="3" t="s">
        <v>173</v>
      </c>
      <c r="F17" s="3" t="s">
        <v>174</v>
      </c>
    </row>
    <row r="18" spans="1:6" ht="32" customHeight="1">
      <c r="A18" s="14">
        <v>12</v>
      </c>
      <c r="B18" s="14">
        <v>1011</v>
      </c>
      <c r="C18" s="3" t="s">
        <v>168</v>
      </c>
      <c r="D18" s="3" t="s">
        <v>169</v>
      </c>
      <c r="E18" s="3" t="s">
        <v>166</v>
      </c>
      <c r="F18" s="3" t="s">
        <v>170</v>
      </c>
    </row>
    <row r="19" spans="1:6" ht="32" customHeight="1">
      <c r="A19" s="14">
        <v>14</v>
      </c>
      <c r="B19" s="14">
        <v>1013</v>
      </c>
      <c r="C19" s="3" t="s">
        <v>171</v>
      </c>
      <c r="D19" s="3" t="s">
        <v>186</v>
      </c>
      <c r="E19" s="3" t="s">
        <v>173</v>
      </c>
      <c r="F19" s="3" t="s">
        <v>174</v>
      </c>
    </row>
    <row r="20" spans="1:6" ht="32" customHeight="1">
      <c r="A20" s="14">
        <v>16</v>
      </c>
      <c r="B20" s="14">
        <v>1015</v>
      </c>
      <c r="C20" s="3" t="s">
        <v>171</v>
      </c>
      <c r="D20" s="3" t="s">
        <v>187</v>
      </c>
      <c r="E20" s="3" t="s">
        <v>173</v>
      </c>
      <c r="F20" s="3" t="s">
        <v>174</v>
      </c>
    </row>
    <row r="21" spans="1:6" ht="32" customHeight="1">
      <c r="A21" s="14">
        <v>16</v>
      </c>
      <c r="B21" s="14">
        <v>1015</v>
      </c>
      <c r="C21" s="3" t="s">
        <v>176</v>
      </c>
      <c r="D21" s="3" t="s">
        <v>188</v>
      </c>
      <c r="E21" s="3" t="s">
        <v>173</v>
      </c>
      <c r="F21" s="3" t="s">
        <v>178</v>
      </c>
    </row>
    <row r="22" spans="1:6" ht="32" customHeight="1">
      <c r="A22" s="14">
        <v>18</v>
      </c>
      <c r="B22" s="14">
        <v>1017</v>
      </c>
      <c r="C22" s="3" t="s">
        <v>180</v>
      </c>
      <c r="D22" s="3" t="s">
        <v>189</v>
      </c>
      <c r="E22" s="3" t="s">
        <v>182</v>
      </c>
      <c r="F22" s="3" t="s">
        <v>183</v>
      </c>
    </row>
    <row r="23" spans="1:6" ht="32" customHeight="1">
      <c r="A23" s="14">
        <v>19</v>
      </c>
      <c r="B23" s="14">
        <v>1018</v>
      </c>
      <c r="C23" s="3" t="s">
        <v>168</v>
      </c>
      <c r="D23" s="3" t="s">
        <v>169</v>
      </c>
      <c r="E23" s="3" t="s">
        <v>166</v>
      </c>
      <c r="F23" s="3" t="s">
        <v>170</v>
      </c>
    </row>
    <row r="24" spans="1:6" ht="32" customHeight="1">
      <c r="A24" s="14">
        <v>19</v>
      </c>
      <c r="B24" s="14">
        <v>1018</v>
      </c>
      <c r="C24" s="3" t="s">
        <v>176</v>
      </c>
      <c r="D24" s="3" t="s">
        <v>190</v>
      </c>
      <c r="E24" s="3" t="s">
        <v>173</v>
      </c>
      <c r="F24" s="3" t="s">
        <v>178</v>
      </c>
    </row>
    <row r="25" spans="1:6" ht="32" customHeight="1">
      <c r="A25" s="14">
        <v>23</v>
      </c>
      <c r="B25" s="14">
        <v>1022</v>
      </c>
      <c r="C25" s="3" t="s">
        <v>180</v>
      </c>
      <c r="D25" s="3" t="s">
        <v>191</v>
      </c>
      <c r="E25" s="3" t="s">
        <v>182</v>
      </c>
      <c r="F25" s="3" t="s">
        <v>183</v>
      </c>
    </row>
    <row r="26" spans="1:6" ht="32" customHeight="1">
      <c r="A26" s="14">
        <v>25</v>
      </c>
      <c r="B26" s="14">
        <v>1024</v>
      </c>
      <c r="C26" s="3" t="s">
        <v>171</v>
      </c>
      <c r="D26" s="3" t="s">
        <v>192</v>
      </c>
      <c r="E26" s="3" t="s">
        <v>173</v>
      </c>
      <c r="F26" s="3" t="s">
        <v>174</v>
      </c>
    </row>
    <row r="27" spans="1:6" ht="32" customHeight="1">
      <c r="A27" s="14">
        <v>27</v>
      </c>
      <c r="B27" s="14">
        <v>1026</v>
      </c>
      <c r="C27" s="3" t="s">
        <v>168</v>
      </c>
      <c r="D27" s="3" t="s">
        <v>169</v>
      </c>
      <c r="E27" s="3" t="s">
        <v>166</v>
      </c>
      <c r="F27" s="3" t="s">
        <v>170</v>
      </c>
    </row>
    <row r="28" spans="1:6" ht="32" customHeight="1">
      <c r="A28" s="14">
        <v>30</v>
      </c>
      <c r="B28" s="14">
        <v>1029</v>
      </c>
      <c r="C28" s="3" t="s">
        <v>180</v>
      </c>
      <c r="D28" s="3" t="s">
        <v>193</v>
      </c>
      <c r="E28" s="3" t="s">
        <v>182</v>
      </c>
      <c r="F28" s="3" t="s">
        <v>183</v>
      </c>
    </row>
    <row r="29" spans="1:6" ht="32" customHeight="1">
      <c r="A29" s="14">
        <v>32</v>
      </c>
      <c r="B29" s="14">
        <v>1003</v>
      </c>
      <c r="C29" s="3" t="s">
        <v>164</v>
      </c>
      <c r="D29" s="3" t="s">
        <v>165</v>
      </c>
      <c r="E29" s="3" t="s">
        <v>166</v>
      </c>
      <c r="F29" s="3" t="s">
        <v>167</v>
      </c>
    </row>
    <row r="30" spans="1:6" ht="32" customHeight="1">
      <c r="A30" s="14">
        <v>32</v>
      </c>
      <c r="B30" s="14">
        <v>1003</v>
      </c>
      <c r="C30" s="3" t="s">
        <v>168</v>
      </c>
      <c r="D30" s="3" t="s">
        <v>169</v>
      </c>
      <c r="E30" s="3" t="s">
        <v>166</v>
      </c>
      <c r="F30" s="3" t="s">
        <v>170</v>
      </c>
    </row>
    <row r="31" spans="1:6" ht="32" customHeight="1">
      <c r="A31" s="14">
        <v>33</v>
      </c>
      <c r="B31" s="14">
        <v>1004</v>
      </c>
      <c r="C31" s="3" t="s">
        <v>164</v>
      </c>
      <c r="D31" s="3" t="s">
        <v>165</v>
      </c>
      <c r="E31" s="3" t="s">
        <v>166</v>
      </c>
      <c r="F31" s="3" t="s">
        <v>167</v>
      </c>
    </row>
    <row r="32" spans="1:6" ht="32" customHeight="1">
      <c r="A32" s="14">
        <v>33</v>
      </c>
      <c r="B32" s="14">
        <v>1004</v>
      </c>
      <c r="C32" s="3" t="s">
        <v>171</v>
      </c>
      <c r="D32" s="3" t="s">
        <v>194</v>
      </c>
      <c r="E32" s="3" t="s">
        <v>173</v>
      </c>
      <c r="F32" s="3" t="s">
        <v>174</v>
      </c>
    </row>
    <row r="33" spans="1:6" ht="32" customHeight="1">
      <c r="A33" s="14">
        <v>33</v>
      </c>
      <c r="B33" s="14">
        <v>1004</v>
      </c>
      <c r="C33" s="3" t="s">
        <v>176</v>
      </c>
      <c r="D33" s="3" t="s">
        <v>195</v>
      </c>
      <c r="E33" s="3" t="s">
        <v>173</v>
      </c>
      <c r="F33" s="3" t="s">
        <v>178</v>
      </c>
    </row>
    <row r="34" spans="1:6" ht="32" customHeight="1">
      <c r="A34" s="14">
        <v>34</v>
      </c>
      <c r="B34" s="14">
        <v>1005</v>
      </c>
      <c r="C34" s="3" t="s">
        <v>164</v>
      </c>
      <c r="D34" s="3" t="s">
        <v>165</v>
      </c>
      <c r="E34" s="3" t="s">
        <v>166</v>
      </c>
      <c r="F34" s="3" t="s">
        <v>167</v>
      </c>
    </row>
    <row r="35" spans="1:6" ht="32" customHeight="1">
      <c r="A35" s="14">
        <v>34</v>
      </c>
      <c r="B35" s="14">
        <v>1005</v>
      </c>
      <c r="C35" s="3" t="s">
        <v>180</v>
      </c>
      <c r="D35" s="3" t="s">
        <v>196</v>
      </c>
      <c r="E35" s="3" t="s">
        <v>182</v>
      </c>
      <c r="F35" s="3" t="s">
        <v>183</v>
      </c>
    </row>
  </sheetData>
  <mergeCells count="2">
    <mergeCell ref="A1:F2"/>
    <mergeCell ref="A3:F4"/>
  </mergeCells>
  <pageMargins left="0.7" right="0.7" top="0.75" bottom="0.75" header="0.3" footer="0.3"/>
  <pageSetup paperSize="9" fitToHeight="0" orientation="landscape"/>
  <headerFooter>
    <oddFooter>&amp;LSales analysis | Source: supplied workbook&amp;RPage &amp;P of &amp;N</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tabColor rgb="FF00A99D"/>
    <pageSetUpPr fitToPage="1"/>
  </sheetPr>
  <dimension ref="A1:D28"/>
  <sheetViews>
    <sheetView showGridLines="0" zoomScale="90" zoomScaleNormal="90" workbookViewId="0"/>
  </sheetViews>
  <sheetFormatPr defaultRowHeight="20" customHeight="1"/>
  <sheetData>
    <row r="1" spans="1:4" ht="20" customHeight="1">
      <c r="A1" t="s">
        <v>199</v>
      </c>
      <c r="B1" t="s">
        <v>199</v>
      </c>
      <c r="C1" t="s">
        <v>199</v>
      </c>
      <c r="D1" t="s">
        <v>199</v>
      </c>
    </row>
    <row r="2" spans="1:4" ht="20" customHeight="1">
      <c r="A2" t="s">
        <v>33</v>
      </c>
      <c r="B2" t="s">
        <v>17</v>
      </c>
      <c r="C2" t="s">
        <v>61</v>
      </c>
      <c r="D2" t="s">
        <v>117</v>
      </c>
    </row>
    <row r="3" spans="1:4" ht="20" customHeight="1">
      <c r="A3" t="s">
        <v>18</v>
      </c>
      <c r="B3" t="s">
        <v>27</v>
      </c>
      <c r="C3" t="s">
        <v>26</v>
      </c>
      <c r="D3" t="s">
        <v>119</v>
      </c>
    </row>
    <row r="4" spans="1:4" ht="20" customHeight="1">
      <c r="A4" t="s">
        <v>28</v>
      </c>
      <c r="C4" t="s">
        <v>53</v>
      </c>
      <c r="D4" t="s">
        <v>121</v>
      </c>
    </row>
    <row r="5" spans="1:4" ht="20" customHeight="1">
      <c r="A5" t="s">
        <v>23</v>
      </c>
      <c r="C5" t="s">
        <v>46</v>
      </c>
      <c r="D5" t="s">
        <v>123</v>
      </c>
    </row>
    <row r="6" spans="1:4" ht="20" customHeight="1">
      <c r="C6" t="s">
        <v>38</v>
      </c>
      <c r="D6" t="s">
        <v>124</v>
      </c>
    </row>
    <row r="7" spans="1:4" ht="20" customHeight="1">
      <c r="C7" t="s">
        <v>16</v>
      </c>
      <c r="D7" t="s">
        <v>126</v>
      </c>
    </row>
    <row r="8" spans="1:4" ht="20" customHeight="1">
      <c r="C8" t="s">
        <v>37</v>
      </c>
      <c r="D8" t="s">
        <v>127</v>
      </c>
    </row>
    <row r="9" spans="1:4" ht="20" customHeight="1">
      <c r="C9" t="s">
        <v>56</v>
      </c>
      <c r="D9" t="s">
        <v>129</v>
      </c>
    </row>
    <row r="10" spans="1:4" ht="20" customHeight="1">
      <c r="C10" t="s">
        <v>22</v>
      </c>
      <c r="D10" t="s">
        <v>131</v>
      </c>
    </row>
    <row r="11" spans="1:4" ht="20" customHeight="1">
      <c r="C11" t="s">
        <v>57</v>
      </c>
      <c r="D11" t="s">
        <v>132</v>
      </c>
    </row>
    <row r="12" spans="1:4" ht="20" customHeight="1">
      <c r="C12" t="s">
        <v>42</v>
      </c>
      <c r="D12" t="s">
        <v>134</v>
      </c>
    </row>
    <row r="13" spans="1:4" ht="20" customHeight="1">
      <c r="C13" t="s">
        <v>32</v>
      </c>
      <c r="D13" t="s">
        <v>135</v>
      </c>
    </row>
    <row r="14" spans="1:4" ht="20" customHeight="1">
      <c r="C14" t="s">
        <v>65</v>
      </c>
      <c r="D14" t="s">
        <v>136</v>
      </c>
    </row>
    <row r="15" spans="1:4" ht="20" customHeight="1">
      <c r="D15" t="s">
        <v>138</v>
      </c>
    </row>
    <row r="16" spans="1:4" ht="20" customHeight="1">
      <c r="D16" t="s">
        <v>140</v>
      </c>
    </row>
    <row r="17" spans="4:4" ht="20" customHeight="1">
      <c r="D17" t="s">
        <v>141</v>
      </c>
    </row>
    <row r="18" spans="4:4" ht="20" customHeight="1">
      <c r="D18" t="s">
        <v>142</v>
      </c>
    </row>
    <row r="19" spans="4:4" ht="20" customHeight="1">
      <c r="D19" t="s">
        <v>143</v>
      </c>
    </row>
    <row r="20" spans="4:4" ht="20" customHeight="1">
      <c r="D20" t="s">
        <v>145</v>
      </c>
    </row>
    <row r="21" spans="4:4" ht="20" customHeight="1">
      <c r="D21" t="s">
        <v>147</v>
      </c>
    </row>
    <row r="22" spans="4:4" ht="20" customHeight="1">
      <c r="D22" t="s">
        <v>148</v>
      </c>
    </row>
    <row r="23" spans="4:4" ht="20" customHeight="1">
      <c r="D23" t="s">
        <v>149</v>
      </c>
    </row>
    <row r="24" spans="4:4" ht="20" customHeight="1">
      <c r="D24" t="s">
        <v>150</v>
      </c>
    </row>
    <row r="25" spans="4:4" ht="20" customHeight="1">
      <c r="D25" t="s">
        <v>151</v>
      </c>
    </row>
    <row r="26" spans="4:4" ht="20" customHeight="1">
      <c r="D26" t="s">
        <v>152</v>
      </c>
    </row>
    <row r="27" spans="4:4" ht="20" customHeight="1">
      <c r="D27" t="s">
        <v>154</v>
      </c>
    </row>
    <row r="28" spans="4:4" ht="20" customHeight="1">
      <c r="D28" t="s">
        <v>155</v>
      </c>
    </row>
  </sheetData>
  <pageMargins left="0.7" right="0.7" top="0.75" bottom="0.75" header="0.3" footer="0.3"/>
  <pageSetup paperSize="9" fitToHeight="0" orientation="landscape"/>
  <headerFooter>
    <oddFooter>&amp;LSales analysis | Source: supplied workbook&amp;RPage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Sales Dashboard</vt:lpstr>
      <vt:lpstr>Executive Summary</vt:lpstr>
      <vt:lpstr>PivotTables</vt:lpstr>
      <vt:lpstr>Calculations_KPIs</vt:lpstr>
      <vt:lpstr>Cleaned Data</vt:lpstr>
      <vt:lpstr>Raw Data</vt:lpstr>
      <vt:lpstr>Data Quality Log</vt:lpstr>
      <vt:lpstr>Filter Lists</vt:lpstr>
      <vt:lpstr>CategoryOptions</vt:lpstr>
      <vt:lpstr>CustomerOptions</vt:lpstr>
      <vt:lpstr>'Executive Summary'!Print_Area</vt:lpstr>
      <vt:lpstr>'Sales Dashboard'!Print_Area</vt:lpstr>
      <vt:lpstr>ProductOptions</vt:lpstr>
      <vt:lpstr>RegionOptions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2026-10-07T16:42:53Z</dcterms:created>
  <dcterms:modified xsi:type="dcterms:W3CDTF">2026-10-07T16:42:53Z</dcterms:modified>
</cp:coreProperties>
</file>